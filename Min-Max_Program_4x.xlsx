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978336\Desktop\Haroon\"/>
    </mc:Choice>
  </mc:AlternateContent>
  <xr:revisionPtr revIDLastSave="0" documentId="13_ncr:1_{7C19D0E9-671E-4539-9EC0-9219230E8B6E}" xr6:coauthVersionLast="47" xr6:coauthVersionMax="47" xr10:uidLastSave="{00000000-0000-0000-0000-000000000000}"/>
  <bookViews>
    <workbookView xWindow="28680" yWindow="-120" windowWidth="29040" windowHeight="15720" xr2:uid="{00000000-000D-0000-FFFF-FFFF00000000}"/>
  </bookViews>
  <sheets>
    <sheet name="About" sheetId="19" r:id="rId1"/>
    <sheet name="4x Per Week" sheetId="2" r:id="rId2"/>
    <sheet name="Analytics Dashboard" sheetId="16" r:id="rId3"/>
    <sheet name="_DropdownLists" sheetId="3" state="veryHidden" r:id="rId4"/>
    <sheet name="Week 1" sheetId="4" r:id="rId5"/>
    <sheet name="Week 2" sheetId="5" r:id="rId6"/>
    <sheet name="Week 3" sheetId="6" r:id="rId7"/>
    <sheet name="Week 4" sheetId="7" r:id="rId8"/>
    <sheet name="Week 5" sheetId="8" r:id="rId9"/>
    <sheet name="Week 6" sheetId="9" r:id="rId10"/>
    <sheet name="Week 7" sheetId="10" r:id="rId11"/>
    <sheet name="Week 8" sheetId="11" r:id="rId12"/>
    <sheet name="Week 9" sheetId="12" r:id="rId13"/>
    <sheet name="Week 10" sheetId="13" r:id="rId14"/>
    <sheet name="Week 11" sheetId="14" r:id="rId15"/>
    <sheet name="Week 12" sheetId="15"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5" i="16" l="1"/>
  <c r="M185" i="16"/>
  <c r="L185" i="16"/>
  <c r="K185" i="16"/>
  <c r="J185" i="16"/>
  <c r="I185" i="16"/>
  <c r="H185" i="16"/>
  <c r="G185" i="16"/>
  <c r="F185" i="16"/>
  <c r="E185" i="16"/>
  <c r="D185" i="16"/>
  <c r="C185" i="16"/>
  <c r="B185" i="16"/>
  <c r="N184" i="16"/>
  <c r="M184" i="16"/>
  <c r="L184" i="16"/>
  <c r="K184" i="16"/>
  <c r="J184" i="16"/>
  <c r="I184" i="16"/>
  <c r="H184" i="16"/>
  <c r="G184" i="16"/>
  <c r="F184" i="16"/>
  <c r="E184" i="16"/>
  <c r="D184" i="16"/>
  <c r="C184" i="16"/>
  <c r="B184" i="16"/>
  <c r="N183" i="16"/>
  <c r="M183" i="16"/>
  <c r="L183" i="16"/>
  <c r="K183" i="16"/>
  <c r="J183" i="16"/>
  <c r="I183" i="16"/>
  <c r="H183" i="16"/>
  <c r="G183" i="16"/>
  <c r="F183" i="16"/>
  <c r="E183" i="16"/>
  <c r="D183" i="16"/>
  <c r="C183" i="16"/>
  <c r="B183" i="16"/>
  <c r="N182" i="16"/>
  <c r="M182" i="16"/>
  <c r="L182" i="16"/>
  <c r="K182" i="16"/>
  <c r="J182" i="16"/>
  <c r="I182" i="16"/>
  <c r="H182" i="16"/>
  <c r="G182" i="16"/>
  <c r="F182" i="16"/>
  <c r="E182" i="16"/>
  <c r="D182" i="16"/>
  <c r="C182" i="16"/>
  <c r="B182" i="16"/>
  <c r="N181" i="16"/>
  <c r="M181" i="16"/>
  <c r="L181" i="16"/>
  <c r="K181" i="16"/>
  <c r="J181" i="16"/>
  <c r="I181" i="16"/>
  <c r="H181" i="16"/>
  <c r="G181" i="16"/>
  <c r="F181" i="16"/>
  <c r="E181" i="16"/>
  <c r="D181" i="16"/>
  <c r="C181" i="16"/>
  <c r="B181" i="16"/>
  <c r="N180" i="16"/>
  <c r="M180" i="16"/>
  <c r="L180" i="16"/>
  <c r="K180" i="16"/>
  <c r="J180" i="16"/>
  <c r="I180" i="16"/>
  <c r="H180" i="16"/>
  <c r="G180" i="16"/>
  <c r="F180" i="16"/>
  <c r="E180" i="16"/>
  <c r="D180" i="16"/>
  <c r="C180" i="16"/>
  <c r="B180" i="16"/>
  <c r="N179" i="16"/>
  <c r="M179" i="16"/>
  <c r="L179" i="16"/>
  <c r="K179" i="16"/>
  <c r="J179" i="16"/>
  <c r="I179" i="16"/>
  <c r="H179" i="16"/>
  <c r="G179" i="16"/>
  <c r="F179" i="16"/>
  <c r="E179" i="16"/>
  <c r="D179" i="16"/>
  <c r="C179" i="16"/>
  <c r="B179" i="16"/>
  <c r="N178" i="16"/>
  <c r="M178" i="16"/>
  <c r="L178" i="16"/>
  <c r="K178" i="16"/>
  <c r="J178" i="16"/>
  <c r="I178" i="16"/>
  <c r="H178" i="16"/>
  <c r="G178" i="16"/>
  <c r="F178" i="16"/>
  <c r="E178" i="16"/>
  <c r="D178" i="16"/>
  <c r="C178" i="16"/>
  <c r="B178" i="16"/>
  <c r="N177" i="16"/>
  <c r="M177" i="16"/>
  <c r="L177" i="16"/>
  <c r="K177" i="16"/>
  <c r="J177" i="16"/>
  <c r="I177" i="16"/>
  <c r="H177" i="16"/>
  <c r="G177" i="16"/>
  <c r="F177" i="16"/>
  <c r="E177" i="16"/>
  <c r="D177" i="16"/>
  <c r="C177" i="16"/>
  <c r="B177" i="16"/>
  <c r="N176" i="16"/>
  <c r="M176" i="16"/>
  <c r="L176" i="16"/>
  <c r="K176" i="16"/>
  <c r="J176" i="16"/>
  <c r="I176" i="16"/>
  <c r="H176" i="16"/>
  <c r="G176" i="16"/>
  <c r="F176" i="16"/>
  <c r="E176" i="16"/>
  <c r="D176" i="16"/>
  <c r="C176" i="16"/>
  <c r="B176" i="16"/>
  <c r="N175" i="16"/>
  <c r="M175" i="16"/>
  <c r="L175" i="16"/>
  <c r="K175" i="16"/>
  <c r="J175" i="16"/>
  <c r="I175" i="16"/>
  <c r="H175" i="16"/>
  <c r="G175" i="16"/>
  <c r="F175" i="16"/>
  <c r="E175" i="16"/>
  <c r="D175" i="16"/>
  <c r="C175" i="16"/>
  <c r="B175" i="16"/>
  <c r="N174" i="16"/>
  <c r="M174" i="16"/>
  <c r="L174" i="16"/>
  <c r="K174" i="16"/>
  <c r="J174" i="16"/>
  <c r="I174" i="16"/>
  <c r="H174" i="16"/>
  <c r="G174" i="16"/>
  <c r="F174" i="16"/>
  <c r="E174" i="16"/>
  <c r="D174" i="16"/>
  <c r="C174" i="16"/>
  <c r="B174" i="16"/>
  <c r="N173" i="16"/>
  <c r="M173" i="16"/>
  <c r="L173" i="16"/>
  <c r="K173" i="16"/>
  <c r="J173" i="16"/>
  <c r="I173" i="16"/>
  <c r="H173" i="16"/>
  <c r="G173" i="16"/>
  <c r="F173" i="16"/>
  <c r="E173" i="16"/>
  <c r="D173" i="16"/>
  <c r="C173" i="16"/>
  <c r="B173" i="16"/>
  <c r="N172" i="16"/>
  <c r="M172" i="16"/>
  <c r="L172" i="16"/>
  <c r="K172" i="16"/>
  <c r="J172" i="16"/>
  <c r="I172" i="16"/>
  <c r="H172" i="16"/>
  <c r="G172" i="16"/>
  <c r="F172" i="16"/>
  <c r="E172" i="16"/>
  <c r="D172" i="16"/>
  <c r="C172" i="16"/>
  <c r="B172" i="16"/>
  <c r="N171" i="16"/>
  <c r="M171" i="16"/>
  <c r="L171" i="16"/>
  <c r="K171" i="16"/>
  <c r="J171" i="16"/>
  <c r="I171" i="16"/>
  <c r="H171" i="16"/>
  <c r="G171" i="16"/>
  <c r="F171" i="16"/>
  <c r="E171" i="16"/>
  <c r="D171" i="16"/>
  <c r="C171" i="16"/>
  <c r="B171" i="16"/>
  <c r="N170" i="16"/>
  <c r="M170" i="16"/>
  <c r="L170" i="16"/>
  <c r="K170" i="16"/>
  <c r="J170" i="16"/>
  <c r="I170" i="16"/>
  <c r="H170" i="16"/>
  <c r="G170" i="16"/>
  <c r="F170" i="16"/>
  <c r="E170" i="16"/>
  <c r="D170" i="16"/>
  <c r="C170" i="16"/>
  <c r="B170" i="16"/>
  <c r="N169" i="16"/>
  <c r="M169" i="16"/>
  <c r="L169" i="16"/>
  <c r="K169" i="16"/>
  <c r="J169" i="16"/>
  <c r="I169" i="16"/>
  <c r="H169" i="16"/>
  <c r="G169" i="16"/>
  <c r="F169" i="16"/>
  <c r="E169" i="16"/>
  <c r="D169" i="16"/>
  <c r="C169" i="16"/>
  <c r="B169" i="16"/>
  <c r="N162" i="16"/>
  <c r="M162" i="16"/>
  <c r="L162" i="16"/>
  <c r="K162" i="16"/>
  <c r="J162" i="16"/>
  <c r="I162" i="16"/>
  <c r="H162" i="16"/>
  <c r="G162" i="16"/>
  <c r="F162" i="16"/>
  <c r="E162" i="16"/>
  <c r="D162" i="16"/>
  <c r="C162" i="16"/>
  <c r="B162" i="16"/>
  <c r="N161" i="16"/>
  <c r="M161" i="16"/>
  <c r="L161" i="16"/>
  <c r="K161" i="16"/>
  <c r="J161" i="16"/>
  <c r="I161" i="16"/>
  <c r="H161" i="16"/>
  <c r="G161" i="16"/>
  <c r="F161" i="16"/>
  <c r="E161" i="16"/>
  <c r="D161" i="16"/>
  <c r="C161" i="16"/>
  <c r="B161" i="16"/>
  <c r="N160" i="16"/>
  <c r="M160" i="16"/>
  <c r="L160" i="16"/>
  <c r="K160" i="16"/>
  <c r="J160" i="16"/>
  <c r="I160" i="16"/>
  <c r="H160" i="16"/>
  <c r="G160" i="16"/>
  <c r="F160" i="16"/>
  <c r="E160" i="16"/>
  <c r="D160" i="16"/>
  <c r="C160" i="16"/>
  <c r="B160" i="16"/>
  <c r="N159" i="16"/>
  <c r="M159" i="16"/>
  <c r="L159" i="16"/>
  <c r="K159" i="16"/>
  <c r="J159" i="16"/>
  <c r="I159" i="16"/>
  <c r="H159" i="16"/>
  <c r="G159" i="16"/>
  <c r="F159" i="16"/>
  <c r="E159" i="16"/>
  <c r="D159" i="16"/>
  <c r="C159" i="16"/>
  <c r="B159" i="16"/>
  <c r="N158" i="16"/>
  <c r="M158" i="16"/>
  <c r="L158" i="16"/>
  <c r="K158" i="16"/>
  <c r="J158" i="16"/>
  <c r="I158" i="16"/>
  <c r="H158" i="16"/>
  <c r="G158" i="16"/>
  <c r="F158" i="16"/>
  <c r="E158" i="16"/>
  <c r="D158" i="16"/>
  <c r="C158" i="16"/>
  <c r="B158" i="16"/>
  <c r="N157" i="16"/>
  <c r="M157" i="16"/>
  <c r="L157" i="16"/>
  <c r="K157" i="16"/>
  <c r="J157" i="16"/>
  <c r="I157" i="16"/>
  <c r="H157" i="16"/>
  <c r="G157" i="16"/>
  <c r="F157" i="16"/>
  <c r="E157" i="16"/>
  <c r="D157" i="16"/>
  <c r="C157" i="16"/>
  <c r="B157" i="16"/>
  <c r="N156" i="16"/>
  <c r="M156" i="16"/>
  <c r="L156" i="16"/>
  <c r="K156" i="16"/>
  <c r="J156" i="16"/>
  <c r="I156" i="16"/>
  <c r="H156" i="16"/>
  <c r="G156" i="16"/>
  <c r="F156" i="16"/>
  <c r="E156" i="16"/>
  <c r="D156" i="16"/>
  <c r="C156" i="16"/>
  <c r="B156" i="16"/>
  <c r="N155" i="16"/>
  <c r="M155" i="16"/>
  <c r="L155" i="16"/>
  <c r="K155" i="16"/>
  <c r="J155" i="16"/>
  <c r="I155" i="16"/>
  <c r="H155" i="16"/>
  <c r="G155" i="16"/>
  <c r="F155" i="16"/>
  <c r="E155" i="16"/>
  <c r="D155" i="16"/>
  <c r="C155" i="16"/>
  <c r="B155" i="16"/>
  <c r="N154" i="16"/>
  <c r="M154" i="16"/>
  <c r="L154" i="16"/>
  <c r="K154" i="16"/>
  <c r="J154" i="16"/>
  <c r="I154" i="16"/>
  <c r="H154" i="16"/>
  <c r="G154" i="16"/>
  <c r="F154" i="16"/>
  <c r="E154" i="16"/>
  <c r="D154" i="16"/>
  <c r="C154" i="16"/>
  <c r="B154" i="16"/>
  <c r="N153" i="16"/>
  <c r="M153" i="16"/>
  <c r="L153" i="16"/>
  <c r="K153" i="16"/>
  <c r="J153" i="16"/>
  <c r="I153" i="16"/>
  <c r="H153" i="16"/>
  <c r="G153" i="16"/>
  <c r="F153" i="16"/>
  <c r="E153" i="16"/>
  <c r="D153" i="16"/>
  <c r="C153" i="16"/>
  <c r="B153" i="16"/>
  <c r="N152" i="16"/>
  <c r="M152" i="16"/>
  <c r="L152" i="16"/>
  <c r="K152" i="16"/>
  <c r="J152" i="16"/>
  <c r="I152" i="16"/>
  <c r="H152" i="16"/>
  <c r="G152" i="16"/>
  <c r="F152" i="16"/>
  <c r="E152" i="16"/>
  <c r="D152" i="16"/>
  <c r="C152" i="16"/>
  <c r="B152" i="16"/>
  <c r="N151" i="16"/>
  <c r="M151" i="16"/>
  <c r="L151" i="16"/>
  <c r="K151" i="16"/>
  <c r="J151" i="16"/>
  <c r="I151" i="16"/>
  <c r="H151" i="16"/>
  <c r="G151" i="16"/>
  <c r="F151" i="16"/>
  <c r="E151" i="16"/>
  <c r="D151" i="16"/>
  <c r="C151" i="16"/>
  <c r="B151" i="16"/>
  <c r="M143" i="16"/>
  <c r="L143" i="16"/>
  <c r="K143" i="16"/>
  <c r="J143" i="16"/>
  <c r="I143" i="16"/>
  <c r="H143" i="16"/>
  <c r="G143" i="16"/>
  <c r="F143" i="16"/>
  <c r="E143" i="16"/>
  <c r="D143" i="16"/>
  <c r="C143" i="16"/>
  <c r="N142" i="16"/>
  <c r="M142" i="16"/>
  <c r="L142" i="16"/>
  <c r="K142" i="16"/>
  <c r="J142" i="16"/>
  <c r="I142" i="16"/>
  <c r="H142" i="16"/>
  <c r="G142" i="16"/>
  <c r="F142" i="16"/>
  <c r="E142" i="16"/>
  <c r="D142" i="16"/>
  <c r="C142" i="16"/>
  <c r="B142" i="16"/>
  <c r="N141" i="16"/>
  <c r="M141" i="16" a="1"/>
  <c r="M141" i="16" s="1"/>
  <c r="L141" i="16" a="1"/>
  <c r="L141" i="16"/>
  <c r="K141" i="16" a="1"/>
  <c r="K141" i="16" s="1"/>
  <c r="J141" i="16" a="1"/>
  <c r="J141" i="16"/>
  <c r="I141" i="16" a="1"/>
  <c r="I141" i="16" s="1"/>
  <c r="H141" i="16" a="1"/>
  <c r="H141" i="16" s="1"/>
  <c r="G141" i="16" a="1"/>
  <c r="G141" i="16" s="1"/>
  <c r="F141" i="16" a="1"/>
  <c r="F141" i="16" s="1"/>
  <c r="E141" i="16" a="1"/>
  <c r="E141" i="16" s="1"/>
  <c r="D141" i="16" a="1"/>
  <c r="D141" i="16"/>
  <c r="C141" i="16" a="1"/>
  <c r="C141" i="16"/>
  <c r="B141" i="16" a="1"/>
  <c r="B141" i="16" s="1"/>
  <c r="N140" i="16"/>
  <c r="M140" i="16"/>
  <c r="L140" i="16"/>
  <c r="K140" i="16"/>
  <c r="J140" i="16"/>
  <c r="I140" i="16"/>
  <c r="H140" i="16"/>
  <c r="G140" i="16"/>
  <c r="F140" i="16"/>
  <c r="E140" i="16"/>
  <c r="D140" i="16"/>
  <c r="C140" i="16"/>
  <c r="B140" i="16"/>
  <c r="N139" i="16"/>
  <c r="M139" i="16" a="1"/>
  <c r="M139" i="16" s="1"/>
  <c r="L139" i="16" a="1"/>
  <c r="L139" i="16" s="1"/>
  <c r="K139" i="16" a="1"/>
  <c r="K139" i="16" s="1"/>
  <c r="J139" i="16" a="1"/>
  <c r="J139" i="16"/>
  <c r="I139" i="16" a="1"/>
  <c r="I139" i="16"/>
  <c r="H139" i="16" a="1"/>
  <c r="H139" i="16" s="1"/>
  <c r="G139" i="16" a="1"/>
  <c r="G139" i="16" s="1"/>
  <c r="F139" i="16" a="1"/>
  <c r="F139" i="16" s="1"/>
  <c r="E139" i="16" a="1"/>
  <c r="E139" i="16" s="1"/>
  <c r="D139" i="16" a="1"/>
  <c r="D139" i="16"/>
  <c r="C139" i="16" a="1"/>
  <c r="C139" i="16" s="1"/>
  <c r="B139" i="16" a="1"/>
  <c r="B139" i="16" s="1"/>
  <c r="B124" i="16"/>
  <c r="C124" i="16"/>
  <c r="D124" i="16"/>
  <c r="E124" i="16"/>
  <c r="F124" i="16"/>
  <c r="G124" i="16"/>
  <c r="H124" i="16"/>
  <c r="I124" i="16"/>
  <c r="J124" i="16"/>
  <c r="K124" i="16"/>
  <c r="L124" i="16"/>
  <c r="M124" i="16"/>
  <c r="N124" i="16"/>
  <c r="B98" i="16"/>
  <c r="C98" i="16"/>
  <c r="D98" i="16"/>
  <c r="N98" i="16" s="1"/>
  <c r="E98" i="16"/>
  <c r="F98" i="16"/>
  <c r="G98" i="16"/>
  <c r="H98" i="16"/>
  <c r="I98" i="16"/>
  <c r="J98" i="16"/>
  <c r="K98" i="16"/>
  <c r="L98" i="16"/>
  <c r="M98" i="16"/>
  <c r="B99" i="16"/>
  <c r="C99" i="16"/>
  <c r="N99" i="16" s="1"/>
  <c r="D99" i="16"/>
  <c r="E99" i="16"/>
  <c r="F99" i="16"/>
  <c r="G99" i="16"/>
  <c r="H99" i="16"/>
  <c r="I99" i="16"/>
  <c r="J99" i="16"/>
  <c r="K99" i="16"/>
  <c r="L99" i="16"/>
  <c r="M99" i="16"/>
  <c r="B100" i="16"/>
  <c r="C100" i="16"/>
  <c r="N100" i="16" s="1"/>
  <c r="D100" i="16"/>
  <c r="E100" i="16"/>
  <c r="F100" i="16"/>
  <c r="G100" i="16"/>
  <c r="H100" i="16"/>
  <c r="I100" i="16"/>
  <c r="J100" i="16"/>
  <c r="K100" i="16"/>
  <c r="L100" i="16"/>
  <c r="M100" i="16"/>
  <c r="B101" i="16"/>
  <c r="C101" i="16"/>
  <c r="D101" i="16"/>
  <c r="N101" i="16" s="1"/>
  <c r="E101" i="16"/>
  <c r="F101" i="16"/>
  <c r="G101" i="16"/>
  <c r="H101" i="16"/>
  <c r="I101" i="16"/>
  <c r="J101" i="16"/>
  <c r="K101" i="16"/>
  <c r="L101" i="16"/>
  <c r="M101" i="16"/>
  <c r="B102" i="16"/>
  <c r="C102" i="16"/>
  <c r="N102" i="16" s="1"/>
  <c r="D102" i="16"/>
  <c r="E102" i="16"/>
  <c r="F102" i="16"/>
  <c r="G102" i="16"/>
  <c r="H102" i="16"/>
  <c r="I102" i="16"/>
  <c r="J102" i="16"/>
  <c r="K102" i="16"/>
  <c r="L102" i="16"/>
  <c r="M102" i="16"/>
  <c r="B103" i="16"/>
  <c r="C103" i="16"/>
  <c r="N103" i="16" s="1"/>
  <c r="D103" i="16"/>
  <c r="E103" i="16"/>
  <c r="F103" i="16"/>
  <c r="G103" i="16"/>
  <c r="H103" i="16"/>
  <c r="I103" i="16"/>
  <c r="J103" i="16"/>
  <c r="K103" i="16"/>
  <c r="L103" i="16"/>
  <c r="M103" i="16"/>
  <c r="B104" i="16"/>
  <c r="C104" i="16"/>
  <c r="N104" i="16" s="1"/>
  <c r="D104" i="16"/>
  <c r="E104" i="16"/>
  <c r="F104" i="16"/>
  <c r="G104" i="16"/>
  <c r="H104" i="16"/>
  <c r="I104" i="16"/>
  <c r="J104" i="16"/>
  <c r="K104" i="16"/>
  <c r="L104" i="16"/>
  <c r="M104" i="16"/>
  <c r="B105" i="16"/>
  <c r="C105" i="16"/>
  <c r="N105" i="16" s="1"/>
  <c r="D105" i="16"/>
  <c r="E105" i="16"/>
  <c r="F105" i="16"/>
  <c r="G105" i="16"/>
  <c r="H105" i="16"/>
  <c r="I105" i="16"/>
  <c r="J105" i="16"/>
  <c r="K105" i="16"/>
  <c r="L105" i="16"/>
  <c r="M105" i="16"/>
  <c r="B106" i="16"/>
  <c r="N106" i="16" s="1"/>
  <c r="C106" i="16"/>
  <c r="D106" i="16"/>
  <c r="E106" i="16"/>
  <c r="F106" i="16"/>
  <c r="G106" i="16"/>
  <c r="H106" i="16"/>
  <c r="I106" i="16"/>
  <c r="J106" i="16"/>
  <c r="K106" i="16"/>
  <c r="L106" i="16"/>
  <c r="M106" i="16"/>
  <c r="B107" i="16"/>
  <c r="C107" i="16"/>
  <c r="N107" i="16" s="1"/>
  <c r="D107" i="16"/>
  <c r="E107" i="16"/>
  <c r="F107" i="16"/>
  <c r="G107" i="16"/>
  <c r="H107" i="16"/>
  <c r="I107" i="16"/>
  <c r="J107" i="16"/>
  <c r="K107" i="16"/>
  <c r="L107" i="16"/>
  <c r="M107" i="16"/>
  <c r="B108" i="16"/>
  <c r="C108" i="16"/>
  <c r="N108" i="16" s="1"/>
  <c r="D108" i="16"/>
  <c r="E108" i="16"/>
  <c r="F108" i="16"/>
  <c r="G108" i="16"/>
  <c r="H108" i="16"/>
  <c r="I108" i="16"/>
  <c r="J108" i="16"/>
  <c r="K108" i="16"/>
  <c r="L108" i="16"/>
  <c r="M108" i="16"/>
  <c r="B109" i="16"/>
  <c r="N109" i="16" s="1"/>
  <c r="C109" i="16"/>
  <c r="D109" i="16"/>
  <c r="E109" i="16"/>
  <c r="F109" i="16"/>
  <c r="G109" i="16"/>
  <c r="H109" i="16"/>
  <c r="I109" i="16"/>
  <c r="J109" i="16"/>
  <c r="K109" i="16"/>
  <c r="L109" i="16"/>
  <c r="M109" i="16"/>
  <c r="B110" i="16"/>
  <c r="C110" i="16"/>
  <c r="D110" i="16"/>
  <c r="N110" i="16" s="1"/>
  <c r="E110" i="16"/>
  <c r="F110" i="16"/>
  <c r="G110" i="16"/>
  <c r="H110" i="16"/>
  <c r="I110" i="16"/>
  <c r="J110" i="16"/>
  <c r="K110" i="16"/>
  <c r="L110" i="16"/>
  <c r="M110" i="16"/>
  <c r="B111" i="16"/>
  <c r="C111" i="16"/>
  <c r="N111" i="16" s="1"/>
  <c r="D111" i="16"/>
  <c r="E111" i="16"/>
  <c r="F111" i="16"/>
  <c r="G111" i="16"/>
  <c r="H111" i="16"/>
  <c r="I111" i="16"/>
  <c r="J111" i="16"/>
  <c r="K111" i="16"/>
  <c r="L111" i="16"/>
  <c r="M111" i="16"/>
  <c r="B112" i="16"/>
  <c r="C112" i="16"/>
  <c r="N112" i="16" s="1"/>
  <c r="D112" i="16"/>
  <c r="E112" i="16"/>
  <c r="F112" i="16"/>
  <c r="G112" i="16"/>
  <c r="H112" i="16"/>
  <c r="I112" i="16"/>
  <c r="J112" i="16"/>
  <c r="K112" i="16"/>
  <c r="L112" i="16"/>
  <c r="M112" i="16"/>
  <c r="B113" i="16"/>
  <c r="N113" i="16" s="1"/>
  <c r="C113" i="16"/>
  <c r="D113" i="16"/>
  <c r="E113" i="16"/>
  <c r="F113" i="16"/>
  <c r="G113" i="16"/>
  <c r="H113" i="16"/>
  <c r="I113" i="16"/>
  <c r="J113" i="16"/>
  <c r="K113" i="16"/>
  <c r="L113" i="16"/>
  <c r="M113" i="16"/>
  <c r="B114" i="16"/>
  <c r="C114" i="16"/>
  <c r="N114" i="16" s="1"/>
  <c r="D114" i="16"/>
  <c r="E114" i="16"/>
  <c r="F114" i="16"/>
  <c r="G114" i="16"/>
  <c r="H114" i="16"/>
  <c r="I114" i="16"/>
  <c r="J114" i="16"/>
  <c r="K114" i="16"/>
  <c r="L114" i="16"/>
  <c r="M114" i="16"/>
  <c r="B115" i="16"/>
  <c r="C115" i="16"/>
  <c r="N115" i="16" s="1"/>
  <c r="D115" i="16"/>
  <c r="E115" i="16"/>
  <c r="F115" i="16"/>
  <c r="G115" i="16"/>
  <c r="H115" i="16"/>
  <c r="I115" i="16"/>
  <c r="J115" i="16"/>
  <c r="K115" i="16"/>
  <c r="L115" i="16"/>
  <c r="M115" i="16"/>
  <c r="B116" i="16"/>
  <c r="C116" i="16"/>
  <c r="N116" i="16" s="1"/>
  <c r="D116" i="16"/>
  <c r="E116" i="16"/>
  <c r="F116" i="16"/>
  <c r="G116" i="16"/>
  <c r="H116" i="16"/>
  <c r="I116" i="16"/>
  <c r="J116" i="16"/>
  <c r="K116" i="16"/>
  <c r="L116" i="16"/>
  <c r="M116" i="16"/>
  <c r="B117" i="16"/>
  <c r="C117" i="16"/>
  <c r="N117" i="16" s="1"/>
  <c r="D117" i="16"/>
  <c r="E117" i="16"/>
  <c r="F117" i="16"/>
  <c r="G117" i="16"/>
  <c r="H117" i="16"/>
  <c r="I117" i="16"/>
  <c r="J117" i="16"/>
  <c r="K117" i="16"/>
  <c r="L117" i="16"/>
  <c r="M117" i="16"/>
  <c r="B118" i="16"/>
  <c r="C118" i="16"/>
  <c r="N118" i="16" s="1"/>
  <c r="D118" i="16"/>
  <c r="E118" i="16"/>
  <c r="F118" i="16"/>
  <c r="G118" i="16"/>
  <c r="H118" i="16"/>
  <c r="I118" i="16"/>
  <c r="J118" i="16"/>
  <c r="K118" i="16"/>
  <c r="L118" i="16"/>
  <c r="M118" i="16"/>
  <c r="B119" i="16"/>
  <c r="C119" i="16"/>
  <c r="N119" i="16" s="1"/>
  <c r="D119" i="16"/>
  <c r="E119" i="16"/>
  <c r="F119" i="16"/>
  <c r="G119" i="16"/>
  <c r="H119" i="16"/>
  <c r="I119" i="16"/>
  <c r="J119" i="16"/>
  <c r="K119" i="16"/>
  <c r="L119" i="16"/>
  <c r="M119" i="16"/>
  <c r="B120" i="16"/>
  <c r="C120" i="16"/>
  <c r="N120" i="16" s="1"/>
  <c r="D120" i="16"/>
  <c r="E120" i="16"/>
  <c r="F120" i="16"/>
  <c r="G120" i="16"/>
  <c r="H120" i="16"/>
  <c r="I120" i="16"/>
  <c r="J120" i="16"/>
  <c r="K120" i="16"/>
  <c r="L120" i="16"/>
  <c r="M120" i="16"/>
  <c r="B121" i="16"/>
  <c r="C121" i="16"/>
  <c r="D121" i="16"/>
  <c r="E121" i="16"/>
  <c r="F121" i="16"/>
  <c r="G121" i="16"/>
  <c r="H121" i="16"/>
  <c r="I121" i="16"/>
  <c r="J121" i="16"/>
  <c r="K121" i="16"/>
  <c r="L121" i="16"/>
  <c r="M121" i="16"/>
  <c r="N121" i="16"/>
  <c r="B122" i="16"/>
  <c r="C122" i="16"/>
  <c r="D122" i="16"/>
  <c r="N122" i="16" s="1"/>
  <c r="E122" i="16"/>
  <c r="F122" i="16"/>
  <c r="G122" i="16"/>
  <c r="H122" i="16"/>
  <c r="I122" i="16"/>
  <c r="J122" i="16"/>
  <c r="K122" i="16"/>
  <c r="L122" i="16"/>
  <c r="M122" i="16"/>
  <c r="B123" i="16"/>
  <c r="C123" i="16"/>
  <c r="N123" i="16" s="1"/>
  <c r="D123" i="16"/>
  <c r="E123" i="16"/>
  <c r="F123" i="16"/>
  <c r="G123" i="16"/>
  <c r="H123" i="16"/>
  <c r="I123" i="16"/>
  <c r="J123" i="16"/>
  <c r="K123" i="16"/>
  <c r="L123" i="16"/>
  <c r="M123" i="16"/>
  <c r="B66" i="16"/>
  <c r="C66" i="16"/>
  <c r="D66" i="16"/>
  <c r="E66" i="16"/>
  <c r="F66" i="16"/>
  <c r="G66" i="16"/>
  <c r="N66" i="16" s="1"/>
  <c r="O66" i="16" s="1"/>
  <c r="H66" i="16"/>
  <c r="I66" i="16"/>
  <c r="J66" i="16"/>
  <c r="K66" i="16"/>
  <c r="L66" i="16"/>
  <c r="M66" i="16"/>
  <c r="B67" i="16"/>
  <c r="C67" i="16"/>
  <c r="D67" i="16"/>
  <c r="E67" i="16"/>
  <c r="N67" i="16" s="1"/>
  <c r="O67" i="16" s="1"/>
  <c r="F67" i="16"/>
  <c r="G67" i="16"/>
  <c r="H67" i="16"/>
  <c r="I67" i="16"/>
  <c r="J67" i="16"/>
  <c r="K67" i="16"/>
  <c r="L67" i="16"/>
  <c r="M67" i="16"/>
  <c r="B68" i="16"/>
  <c r="C68" i="16"/>
  <c r="N68" i="16" s="1"/>
  <c r="O68" i="16" s="1"/>
  <c r="D68" i="16"/>
  <c r="E68" i="16"/>
  <c r="F68" i="16"/>
  <c r="G68" i="16"/>
  <c r="H68" i="16"/>
  <c r="I68" i="16"/>
  <c r="J68" i="16"/>
  <c r="K68" i="16"/>
  <c r="L68" i="16"/>
  <c r="M68" i="16"/>
  <c r="B69" i="16"/>
  <c r="C69" i="16"/>
  <c r="N69" i="16" s="1"/>
  <c r="O69" i="16" s="1"/>
  <c r="D69" i="16"/>
  <c r="E69" i="16"/>
  <c r="F69" i="16"/>
  <c r="G69" i="16"/>
  <c r="H69" i="16"/>
  <c r="I69" i="16"/>
  <c r="J69" i="16"/>
  <c r="K69" i="16"/>
  <c r="L69" i="16"/>
  <c r="M69" i="16"/>
  <c r="B70" i="16"/>
  <c r="N70" i="16" s="1"/>
  <c r="O70" i="16" s="1"/>
  <c r="C70" i="16"/>
  <c r="D70" i="16"/>
  <c r="E70" i="16"/>
  <c r="F70" i="16"/>
  <c r="G70" i="16"/>
  <c r="H70" i="16"/>
  <c r="I70" i="16"/>
  <c r="J70" i="16"/>
  <c r="K70" i="16"/>
  <c r="L70" i="16"/>
  <c r="M70" i="16"/>
  <c r="B71" i="16"/>
  <c r="C71" i="16"/>
  <c r="N71" i="16" s="1"/>
  <c r="O71" i="16" s="1"/>
  <c r="D71" i="16"/>
  <c r="E71" i="16"/>
  <c r="F71" i="16"/>
  <c r="G71" i="16"/>
  <c r="H71" i="16"/>
  <c r="I71" i="16"/>
  <c r="J71" i="16"/>
  <c r="K71" i="16"/>
  <c r="L71" i="16"/>
  <c r="M71" i="16"/>
  <c r="B72" i="16"/>
  <c r="C72" i="16"/>
  <c r="D72" i="16"/>
  <c r="E72" i="16"/>
  <c r="F72" i="16"/>
  <c r="G72" i="16"/>
  <c r="N72" i="16" s="1"/>
  <c r="O72" i="16" s="1"/>
  <c r="H72" i="16"/>
  <c r="I72" i="16"/>
  <c r="J72" i="16"/>
  <c r="K72" i="16"/>
  <c r="L72" i="16"/>
  <c r="M72" i="16"/>
  <c r="B73" i="16"/>
  <c r="C73" i="16"/>
  <c r="D73" i="16"/>
  <c r="E73" i="16"/>
  <c r="N73" i="16" s="1"/>
  <c r="O73" i="16" s="1"/>
  <c r="F73" i="16"/>
  <c r="G73" i="16"/>
  <c r="H73" i="16"/>
  <c r="I73" i="16"/>
  <c r="J73" i="16"/>
  <c r="K73" i="16"/>
  <c r="L73" i="16"/>
  <c r="M73" i="16"/>
  <c r="B74" i="16"/>
  <c r="C74" i="16"/>
  <c r="N74" i="16" s="1"/>
  <c r="O74" i="16" s="1"/>
  <c r="D74" i="16"/>
  <c r="E74" i="16"/>
  <c r="F74" i="16"/>
  <c r="G74" i="16"/>
  <c r="H74" i="16"/>
  <c r="I74" i="16"/>
  <c r="J74" i="16"/>
  <c r="K74" i="16"/>
  <c r="L74" i="16"/>
  <c r="M74" i="16"/>
  <c r="B75" i="16"/>
  <c r="C75" i="16"/>
  <c r="N75" i="16" s="1"/>
  <c r="O75" i="16" s="1"/>
  <c r="D75" i="16"/>
  <c r="E75" i="16"/>
  <c r="F75" i="16"/>
  <c r="G75" i="16"/>
  <c r="H75" i="16"/>
  <c r="I75" i="16"/>
  <c r="J75" i="16"/>
  <c r="K75" i="16"/>
  <c r="L75" i="16"/>
  <c r="M75" i="16"/>
  <c r="B76" i="16"/>
  <c r="N76" i="16" s="1"/>
  <c r="O76" i="16" s="1"/>
  <c r="C76" i="16"/>
  <c r="D76" i="16"/>
  <c r="E76" i="16"/>
  <c r="F76" i="16"/>
  <c r="G76" i="16"/>
  <c r="H76" i="16"/>
  <c r="I76" i="16"/>
  <c r="J76" i="16"/>
  <c r="K76" i="16"/>
  <c r="L76" i="16"/>
  <c r="M76" i="16"/>
  <c r="B77" i="16"/>
  <c r="N77" i="16" s="1"/>
  <c r="O77" i="16" s="1"/>
  <c r="C77" i="16"/>
  <c r="D77" i="16"/>
  <c r="E77" i="16"/>
  <c r="F77" i="16"/>
  <c r="G77" i="16"/>
  <c r="H77" i="16"/>
  <c r="I77" i="16"/>
  <c r="J77" i="16"/>
  <c r="K77" i="16"/>
  <c r="L77" i="16"/>
  <c r="M77" i="16"/>
  <c r="B78" i="16"/>
  <c r="C78" i="16"/>
  <c r="D78" i="16"/>
  <c r="E78" i="16"/>
  <c r="F78" i="16"/>
  <c r="G78" i="16"/>
  <c r="N78" i="16" s="1"/>
  <c r="O78" i="16" s="1"/>
  <c r="H78" i="16"/>
  <c r="I78" i="16"/>
  <c r="J78" i="16"/>
  <c r="K78" i="16"/>
  <c r="L78" i="16"/>
  <c r="M78" i="16"/>
  <c r="B79" i="16"/>
  <c r="C79" i="16"/>
  <c r="D79" i="16"/>
  <c r="E79" i="16"/>
  <c r="N79" i="16" s="1"/>
  <c r="O79" i="16" s="1"/>
  <c r="F79" i="16"/>
  <c r="G79" i="16"/>
  <c r="H79" i="16"/>
  <c r="I79" i="16"/>
  <c r="J79" i="16"/>
  <c r="K79" i="16"/>
  <c r="L79" i="16"/>
  <c r="M79" i="16"/>
  <c r="B80" i="16"/>
  <c r="C80" i="16"/>
  <c r="N80" i="16" s="1"/>
  <c r="O80" i="16" s="1"/>
  <c r="D80" i="16"/>
  <c r="E80" i="16"/>
  <c r="F80" i="16"/>
  <c r="G80" i="16"/>
  <c r="H80" i="16"/>
  <c r="I80" i="16"/>
  <c r="J80" i="16"/>
  <c r="K80" i="16"/>
  <c r="L80" i="16"/>
  <c r="M80" i="16"/>
  <c r="B81" i="16"/>
  <c r="C81" i="16"/>
  <c r="N81" i="16" s="1"/>
  <c r="O81" i="16" s="1"/>
  <c r="D81" i="16"/>
  <c r="E81" i="16"/>
  <c r="F81" i="16"/>
  <c r="G81" i="16"/>
  <c r="H81" i="16"/>
  <c r="I81" i="16"/>
  <c r="J81" i="16"/>
  <c r="K81" i="16"/>
  <c r="L81" i="16"/>
  <c r="M81" i="16"/>
  <c r="B82" i="16"/>
  <c r="N82" i="16" s="1"/>
  <c r="O82" i="16" s="1"/>
  <c r="C82" i="16"/>
  <c r="D82" i="16"/>
  <c r="E82" i="16"/>
  <c r="F82" i="16"/>
  <c r="G82" i="16"/>
  <c r="H82" i="16"/>
  <c r="I82" i="16"/>
  <c r="J82" i="16"/>
  <c r="K82" i="16"/>
  <c r="L82" i="16"/>
  <c r="M82" i="16"/>
  <c r="B83" i="16"/>
  <c r="C83" i="16"/>
  <c r="N83" i="16" s="1"/>
  <c r="O83" i="16" s="1"/>
  <c r="D83" i="16"/>
  <c r="E83" i="16"/>
  <c r="F83" i="16"/>
  <c r="G83" i="16"/>
  <c r="H83" i="16"/>
  <c r="I83" i="16"/>
  <c r="J83" i="16"/>
  <c r="K83" i="16"/>
  <c r="L83" i="16"/>
  <c r="M83" i="16"/>
  <c r="B84" i="16"/>
  <c r="C84" i="16"/>
  <c r="D84" i="16"/>
  <c r="E84" i="16"/>
  <c r="F84" i="16"/>
  <c r="G84" i="16"/>
  <c r="N84" i="16" s="1"/>
  <c r="O84" i="16" s="1"/>
  <c r="H84" i="16"/>
  <c r="I84" i="16"/>
  <c r="J84" i="16"/>
  <c r="K84" i="16"/>
  <c r="L84" i="16"/>
  <c r="M84" i="16"/>
  <c r="B85" i="16"/>
  <c r="C85" i="16"/>
  <c r="D85" i="16"/>
  <c r="E85" i="16"/>
  <c r="N85" i="16" s="1"/>
  <c r="O85" i="16" s="1"/>
  <c r="F85" i="16"/>
  <c r="G85" i="16"/>
  <c r="H85" i="16"/>
  <c r="I85" i="16"/>
  <c r="J85" i="16"/>
  <c r="K85" i="16"/>
  <c r="L85" i="16"/>
  <c r="M85" i="16"/>
  <c r="B86" i="16"/>
  <c r="C86" i="16"/>
  <c r="N86" i="16" s="1"/>
  <c r="O86" i="16" s="1"/>
  <c r="D86" i="16"/>
  <c r="E86" i="16"/>
  <c r="F86" i="16"/>
  <c r="G86" i="16"/>
  <c r="H86" i="16"/>
  <c r="I86" i="16"/>
  <c r="J86" i="16"/>
  <c r="K86" i="16"/>
  <c r="L86" i="16"/>
  <c r="M86" i="16"/>
  <c r="B87" i="16"/>
  <c r="N87" i="16" s="1"/>
  <c r="O87" i="16" s="1"/>
  <c r="C87" i="16"/>
  <c r="D87" i="16"/>
  <c r="E87" i="16"/>
  <c r="F87" i="16"/>
  <c r="G87" i="16"/>
  <c r="H87" i="16"/>
  <c r="I87" i="16"/>
  <c r="J87" i="16"/>
  <c r="K87" i="16"/>
  <c r="L87" i="16"/>
  <c r="M87" i="16"/>
  <c r="B88" i="16"/>
  <c r="N88" i="16" s="1"/>
  <c r="O88" i="16" s="1"/>
  <c r="C88" i="16"/>
  <c r="D88" i="16"/>
  <c r="E88" i="16"/>
  <c r="F88" i="16"/>
  <c r="G88" i="16"/>
  <c r="H88" i="16"/>
  <c r="I88" i="16"/>
  <c r="J88" i="16"/>
  <c r="K88" i="16"/>
  <c r="L88" i="16"/>
  <c r="M88" i="16"/>
  <c r="B89" i="16"/>
  <c r="N89" i="16" s="1"/>
  <c r="O89" i="16" s="1"/>
  <c r="C89" i="16"/>
  <c r="D89" i="16"/>
  <c r="E89" i="16"/>
  <c r="F89" i="16"/>
  <c r="G89" i="16"/>
  <c r="H89" i="16"/>
  <c r="I89" i="16"/>
  <c r="J89" i="16"/>
  <c r="K89" i="16"/>
  <c r="L89" i="16"/>
  <c r="M89" i="16"/>
  <c r="B90" i="16"/>
  <c r="C90" i="16"/>
  <c r="D90" i="16"/>
  <c r="E90" i="16"/>
  <c r="F90" i="16"/>
  <c r="G90" i="16"/>
  <c r="N90" i="16" s="1"/>
  <c r="O90" i="16" s="1"/>
  <c r="H90" i="16"/>
  <c r="I90" i="16"/>
  <c r="J90" i="16"/>
  <c r="K90" i="16"/>
  <c r="L90" i="16"/>
  <c r="M90" i="16"/>
  <c r="B91" i="16"/>
  <c r="C91" i="16"/>
  <c r="D91" i="16"/>
  <c r="E91" i="16"/>
  <c r="N91" i="16" s="1"/>
  <c r="O91" i="16" s="1"/>
  <c r="F91" i="16"/>
  <c r="G91" i="16"/>
  <c r="H91" i="16"/>
  <c r="I91" i="16"/>
  <c r="J91" i="16"/>
  <c r="K91" i="16"/>
  <c r="L91" i="16"/>
  <c r="M91" i="16"/>
  <c r="M6" i="16"/>
  <c r="L6" i="16"/>
  <c r="K6" i="16"/>
  <c r="J6" i="16"/>
  <c r="I6" i="16"/>
  <c r="I58" i="16" s="1"/>
  <c r="H6" i="16"/>
  <c r="G6" i="16"/>
  <c r="G58" i="16" s="1"/>
  <c r="F6" i="16"/>
  <c r="E6" i="16"/>
  <c r="D6" i="16"/>
  <c r="D57" i="16" s="1"/>
  <c r="C6" i="16"/>
  <c r="C57" i="16" s="1"/>
  <c r="B6" i="16"/>
  <c r="M20" i="16"/>
  <c r="M19" i="16"/>
  <c r="M18" i="16"/>
  <c r="M17" i="16"/>
  <c r="M16" i="16"/>
  <c r="M15" i="16"/>
  <c r="M14" i="16"/>
  <c r="M13" i="16"/>
  <c r="M12" i="16"/>
  <c r="L20" i="16"/>
  <c r="L19" i="16"/>
  <c r="L18" i="16"/>
  <c r="L17" i="16"/>
  <c r="L16" i="16"/>
  <c r="L15" i="16"/>
  <c r="L14" i="16"/>
  <c r="L13" i="16"/>
  <c r="L12" i="16"/>
  <c r="K20" i="16"/>
  <c r="K19" i="16"/>
  <c r="K18" i="16"/>
  <c r="K17" i="16"/>
  <c r="K16" i="16"/>
  <c r="K15" i="16"/>
  <c r="K14" i="16"/>
  <c r="K13" i="16"/>
  <c r="K12" i="16"/>
  <c r="J20" i="16"/>
  <c r="J19" i="16"/>
  <c r="J18" i="16"/>
  <c r="J17" i="16"/>
  <c r="J16" i="16"/>
  <c r="J15" i="16"/>
  <c r="J14" i="16"/>
  <c r="J13" i="16"/>
  <c r="J12" i="16"/>
  <c r="I20" i="16"/>
  <c r="I19" i="16"/>
  <c r="I18" i="16"/>
  <c r="I17" i="16"/>
  <c r="I16" i="16"/>
  <c r="I15" i="16"/>
  <c r="I14" i="16"/>
  <c r="I13" i="16"/>
  <c r="I12" i="16"/>
  <c r="H20" i="16"/>
  <c r="H19" i="16"/>
  <c r="H18" i="16"/>
  <c r="H17" i="16"/>
  <c r="H16" i="16"/>
  <c r="H15" i="16"/>
  <c r="H14" i="16"/>
  <c r="H13" i="16"/>
  <c r="H12" i="16"/>
  <c r="G20" i="16"/>
  <c r="G19" i="16"/>
  <c r="G18" i="16"/>
  <c r="G17" i="16"/>
  <c r="G16" i="16"/>
  <c r="G15" i="16"/>
  <c r="G14" i="16"/>
  <c r="G13" i="16"/>
  <c r="G12" i="16"/>
  <c r="F20" i="16"/>
  <c r="F19" i="16"/>
  <c r="F18" i="16"/>
  <c r="F17" i="16"/>
  <c r="F16" i="16"/>
  <c r="F15" i="16"/>
  <c r="F14" i="16"/>
  <c r="F13" i="16"/>
  <c r="F12" i="16"/>
  <c r="E20" i="16"/>
  <c r="E19" i="16"/>
  <c r="E18" i="16"/>
  <c r="E17" i="16"/>
  <c r="E16" i="16"/>
  <c r="E15" i="16"/>
  <c r="E14" i="16"/>
  <c r="E13" i="16"/>
  <c r="E12" i="16"/>
  <c r="D20" i="16"/>
  <c r="D19" i="16"/>
  <c r="D18" i="16"/>
  <c r="D17" i="16"/>
  <c r="D16" i="16"/>
  <c r="D15" i="16"/>
  <c r="D14" i="16"/>
  <c r="D13" i="16"/>
  <c r="D12" i="16"/>
  <c r="C20" i="16"/>
  <c r="C19" i="16"/>
  <c r="C18" i="16"/>
  <c r="C17" i="16"/>
  <c r="C16" i="16"/>
  <c r="C15" i="16"/>
  <c r="C14" i="16"/>
  <c r="C13" i="16"/>
  <c r="C12" i="16"/>
  <c r="B20" i="16"/>
  <c r="B19" i="16"/>
  <c r="B18" i="16"/>
  <c r="B17" i="16"/>
  <c r="B16" i="16"/>
  <c r="B15" i="16"/>
  <c r="B14" i="16"/>
  <c r="B13" i="16"/>
  <c r="B12" i="16"/>
  <c r="M31" i="16"/>
  <c r="M30" i="16"/>
  <c r="M29" i="16"/>
  <c r="M28" i="16"/>
  <c r="M27" i="16"/>
  <c r="L31" i="16"/>
  <c r="L30" i="16"/>
  <c r="L29" i="16"/>
  <c r="L28" i="16"/>
  <c r="L27" i="16"/>
  <c r="L56" i="16" s="1"/>
  <c r="K31" i="16"/>
  <c r="K30" i="16"/>
  <c r="K29" i="16"/>
  <c r="K28" i="16"/>
  <c r="K27" i="16"/>
  <c r="K59" i="16" s="1"/>
  <c r="J31" i="16"/>
  <c r="J30" i="16"/>
  <c r="J29" i="16"/>
  <c r="J28" i="16"/>
  <c r="J27" i="16"/>
  <c r="I31" i="16"/>
  <c r="I30" i="16"/>
  <c r="I29" i="16"/>
  <c r="I28" i="16"/>
  <c r="I27" i="16"/>
  <c r="H31" i="16"/>
  <c r="H30" i="16"/>
  <c r="H29" i="16"/>
  <c r="H28" i="16"/>
  <c r="H27" i="16"/>
  <c r="H59" i="16" s="1"/>
  <c r="G31" i="16"/>
  <c r="G30" i="16"/>
  <c r="G29" i="16"/>
  <c r="G28" i="16"/>
  <c r="G27" i="16"/>
  <c r="F31" i="16"/>
  <c r="F30" i="16"/>
  <c r="F29" i="16"/>
  <c r="F28" i="16"/>
  <c r="F27" i="16"/>
  <c r="E31" i="16"/>
  <c r="E30" i="16"/>
  <c r="E29" i="16"/>
  <c r="E28" i="16"/>
  <c r="E27" i="16"/>
  <c r="D31" i="16"/>
  <c r="D30" i="16"/>
  <c r="D29" i="16"/>
  <c r="D28" i="16"/>
  <c r="D27" i="16"/>
  <c r="C31" i="16"/>
  <c r="C30" i="16"/>
  <c r="C29" i="16"/>
  <c r="C28" i="16"/>
  <c r="C27" i="16"/>
  <c r="B31" i="16"/>
  <c r="B30" i="16"/>
  <c r="B29" i="16"/>
  <c r="B28" i="16"/>
  <c r="B27" i="16"/>
  <c r="M59" i="16"/>
  <c r="M58" i="16"/>
  <c r="M57" i="16"/>
  <c r="M56" i="16"/>
  <c r="L59" i="16"/>
  <c r="L58" i="16"/>
  <c r="L57" i="16"/>
  <c r="K58" i="16"/>
  <c r="K57" i="16"/>
  <c r="K56" i="16"/>
  <c r="J59" i="16"/>
  <c r="J58" i="16"/>
  <c r="J57" i="16"/>
  <c r="J56" i="16"/>
  <c r="I59" i="16"/>
  <c r="H58" i="16"/>
  <c r="H57" i="16"/>
  <c r="F59" i="16"/>
  <c r="F58" i="16"/>
  <c r="F57" i="16"/>
  <c r="F56" i="16"/>
  <c r="E59" i="16"/>
  <c r="E58" i="16"/>
  <c r="E57" i="16"/>
  <c r="E56" i="16"/>
  <c r="C59" i="16"/>
  <c r="C58" i="16"/>
  <c r="E42" i="16"/>
  <c r="E41" i="16"/>
  <c r="E40" i="16"/>
  <c r="E39" i="16"/>
  <c r="E38" i="16"/>
  <c r="B58" i="16" l="1"/>
  <c r="I57" i="16"/>
  <c r="I56" i="16"/>
  <c r="G56" i="16"/>
  <c r="G59" i="16"/>
  <c r="G57" i="16"/>
  <c r="D58" i="16"/>
  <c r="C56" i="16"/>
  <c r="A49" i="16"/>
  <c r="B49" i="16" a="1"/>
  <c r="B49" i="16" s="1"/>
  <c r="E49" i="16"/>
  <c r="F49" i="16"/>
  <c r="B57" i="16"/>
  <c r="B59" i="16"/>
  <c r="H56" i="16"/>
  <c r="D59" i="16"/>
  <c r="D56" i="16"/>
  <c r="B56" i="16"/>
  <c r="C49" i="16" l="1"/>
  <c r="D49"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1" authorId="0" shapeId="0" xr:uid="{00000000-0006-0000-0100-000001000000}">
      <text>
        <r>
          <rPr>
            <sz val="10"/>
            <color rgb="FF000000"/>
            <rFont val="Arial"/>
            <family val="2"/>
            <scheme val="minor"/>
          </rPr>
          <t>delete this exercise
	-Jeff Nippard</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<sst xmlns="http://schemas.openxmlformats.org/spreadsheetml/2006/main" count="3498" uniqueCount="404">
  <si>
    <t>The Min-Max Program</t>
  </si>
  <si>
    <t xml:space="preserve">Copyright 2025 by Jeff Nippard. All rights reserved. </t>
  </si>
  <si>
    <t xml:space="preserve">IMPORTANT PROGRAM NOTES (PLEASE READ BEFORE STARTING!)
● Due to the lower volume in this program, it's essential that you approach each set with focused intent and high effort.
● Nearly every set in this program should be taken to failure, or 1 rep shy of failure. The only exceptions are in Week 1 (an intro week) and Week 7 (a deload week), where you won't train quite as hard.
● In the program, I use Reps In Reserve (RIR) to indicate which sets you should take to failure. An RIR of 0 means you hit failure (zero reps in the tank). An RIR of 1 means you stop 1 rep shy of failure.
● For heavy compound lifts like the Squat, Barbell Incline Press, Leg Press, and Smith Machine Lunge, an RIR of 0 means you couldn’t complete another rep, but for safety you don't need to actually attempt and fail the final rep unless you want to.
● For all other exercises, an RIR of 0 means that you should actually go for another rep, even if you think you can't get it. On these exercises, go until you physically can't complete the rep and literally fail.
</t>
  </si>
  <si>
    <t>WARM-UP PROTOCOL</t>
  </si>
  <si>
    <t>Block 1</t>
  </si>
  <si>
    <t>Intro Week</t>
  </si>
  <si>
    <t>Week 1</t>
  </si>
  <si>
    <t>Exercise</t>
  </si>
  <si>
    <t>Last-Set Intensity Technique</t>
  </si>
  <si>
    <t>Warm-up Sets</t>
  </si>
  <si>
    <t>Working Sets</t>
  </si>
  <si>
    <t>Rep Range</t>
  </si>
  <si>
    <t>Tracking Load and Reps</t>
  </si>
  <si>
    <t>Failure?</t>
  </si>
  <si>
    <t>Rest</t>
  </si>
  <si>
    <t>Substitution Option 1</t>
  </si>
  <si>
    <t>Substitution Option 2</t>
  </si>
  <si>
    <t>Notes</t>
  </si>
  <si>
    <t>Set 1</t>
  </si>
  <si>
    <t>Set 2</t>
  </si>
  <si>
    <t>Load</t>
  </si>
  <si>
    <t>Reps</t>
  </si>
  <si>
    <t>RIR (Set 1)</t>
  </si>
  <si>
    <t>RIR (Set 2)</t>
  </si>
  <si>
    <t>Barbell Incline Press</t>
  </si>
  <si>
    <t>N/A</t>
  </si>
  <si>
    <t>3-5 min</t>
  </si>
  <si>
    <t>Smith Machine Incline Press</t>
  </si>
  <si>
    <t>DB Incline Press</t>
  </si>
  <si>
    <t>A 30° or 45° bench will work here. Pause for 1 second at the bottom of each rep while maintaining tension on the pecs.</t>
  </si>
  <si>
    <t>1-2 min</t>
  </si>
  <si>
    <t>Incline DB Y-Raise</t>
  </si>
  <si>
    <t>0-1</t>
  </si>
  <si>
    <t>Cable Y-Raise</t>
  </si>
  <si>
    <t>Machine Lateral Raise</t>
  </si>
  <si>
    <t>Use a 30° incline bench (back against the bench) and lift the weight up and out in a Y shape.</t>
  </si>
  <si>
    <t>Pull-Up (Wide Grip)</t>
  </si>
  <si>
    <t>2-3 min</t>
  </si>
  <si>
    <t>Lat Pulldown (Wide Grip)</t>
  </si>
  <si>
    <t>1-Arm Cable Pulldown</t>
  </si>
  <si>
    <t>Control the negative and feel your lats pulling apart. Full ROM!</t>
  </si>
  <si>
    <t>Lying Leg Curl</t>
  </si>
  <si>
    <t>Seated Leg Curl</t>
  </si>
  <si>
    <t>Nordic Ham Curl</t>
  </si>
  <si>
    <t xml:space="preserve">Set the machine so that you get the biggest stretch possible at the bottom. Prevent your butt from popping up as you curl. </t>
  </si>
  <si>
    <t>Squat (Your Choice)</t>
  </si>
  <si>
    <t>See Notes</t>
  </si>
  <si>
    <t>This can be a Barbell Back Squat, Barbell Front Squat, Pendulum Squat, Hack Squat, Belt Squat, or Smith Machine Squat.</t>
  </si>
  <si>
    <t>Leg Extension</t>
  </si>
  <si>
    <t>Reverse Nordic</t>
  </si>
  <si>
    <t>Sissy Squat</t>
  </si>
  <si>
    <t>Set the seat back as far as it will go while still feeling comfortable. Grab the handles as hard as you can to pull your butt down into the seat (using straps can help here).</t>
  </si>
  <si>
    <t>Standing Calf Raise</t>
  </si>
  <si>
    <t>Leg Press Calf Press</t>
  </si>
  <si>
    <t>Donkey Calf Raise</t>
  </si>
  <si>
    <t>1-2 second pause at the bottom of each rep. Instead of just going up onto your toes, think about rolling your ankle back and forth on the balls of your feet.</t>
  </si>
  <si>
    <t>Close-Grip Lat Pulldown</t>
  </si>
  <si>
    <t>Close-Grip Pull-Up</t>
  </si>
  <si>
    <t>Lean back by ~15° and drive your elbows down as you squeeze your shoulder blades together. This should feel like a mix of lats and mid-traps.</t>
  </si>
  <si>
    <t>Chest-Supported T-Bar Row</t>
  </si>
  <si>
    <t>Chest-Supported Machine Row</t>
  </si>
  <si>
    <t>Chest-Supported DB Row</t>
  </si>
  <si>
    <t>Flare elbows out at roughly 45° and squeeze your shoulder blades together hard at the top of each rep.</t>
  </si>
  <si>
    <t>Machine Shrug</t>
  </si>
  <si>
    <t>Barbell Shrug</t>
  </si>
  <si>
    <t>Cable Shrug-In</t>
  </si>
  <si>
    <t>Think about shrugging "up to your ears". Use straps, if possible.</t>
  </si>
  <si>
    <t>Machine Chest Press</t>
  </si>
  <si>
    <t>Smith Machine Bench Press</t>
  </si>
  <si>
    <t>DB Bench Press</t>
  </si>
  <si>
    <t>1 second pause at the bottom of each rep while maintaining tension on the pecs.</t>
  </si>
  <si>
    <t>High-Cable Lateral Raise</t>
  </si>
  <si>
    <t>DB Lateral Raise</t>
  </si>
  <si>
    <t>Set the cable at roughly hip height. Let your hand go slightly past your midline at the bottom of each rep to get a deep stretch on the side delt.</t>
  </si>
  <si>
    <t>1-Arm Reverse Pec Deck</t>
  </si>
  <si>
    <t>Lying Reverse DB Flye</t>
  </si>
  <si>
    <t>Reverse Cable Crossover</t>
  </si>
  <si>
    <t>Sweep the weight out to create the largest semi-circle possible with your arm.</t>
  </si>
  <si>
    <t>Cable Crunch</t>
  </si>
  <si>
    <t>Weighted Crunch</t>
  </si>
  <si>
    <t>Machine Crunch</t>
  </si>
  <si>
    <t>Round your lower back as you crunch. Maintain a mind-muscle connection with your 6-pack.</t>
  </si>
  <si>
    <t>Barbell RDL</t>
  </si>
  <si>
    <t>DB RDL</t>
  </si>
  <si>
    <t>Seated Cable Deadlift</t>
  </si>
  <si>
    <t>Stick your glutes straight back as you lower the bar straight down, centered over the middle of your foot. Get a nice deep stretch at the bottom, but keep your spine neutral (don't round forward).</t>
  </si>
  <si>
    <t>Machine Hip Thrust</t>
  </si>
  <si>
    <t>Barbell Hip Thrust</t>
  </si>
  <si>
    <t>45° Hyperextension</t>
  </si>
  <si>
    <t>Squeeze your glutes hard at the top and control the weight on the way down.</t>
  </si>
  <si>
    <t>Leg Press</t>
  </si>
  <si>
    <t>Smith Machine Squat</t>
  </si>
  <si>
    <t>Barbell Squat</t>
  </si>
  <si>
    <t>Feet lower on the platform for more quad focus. Get as deep as you can without excessive back rounding.</t>
  </si>
  <si>
    <t>Arms/Delts</t>
  </si>
  <si>
    <t>Bayesian Cable Curl</t>
  </si>
  <si>
    <t>Incline DB Curl</t>
  </si>
  <si>
    <t>Standing DB Curl</t>
  </si>
  <si>
    <t>As you curl, optionally lean forward to prevent the cable from hitting your wrist at the top. Control the negative and feel a deep stretch at the bottom of each rep.</t>
  </si>
  <si>
    <t>Overhead Cable Triceps Extension</t>
  </si>
  <si>
    <t>Overhead DB Triceps Extension</t>
  </si>
  <si>
    <t>Skull Crusher</t>
  </si>
  <si>
    <t xml:space="preserve">Feel a deep stretch on the triceps throughout the entire negative. </t>
  </si>
  <si>
    <t>Modified Zottman Curl</t>
  </si>
  <si>
    <t>DB Hammer Curl</t>
  </si>
  <si>
    <t>Preacher Hammer Curl</t>
  </si>
  <si>
    <t>Hammer curl on the way up and supinated curl (palms up) on the way down.</t>
  </si>
  <si>
    <t>Cable Triceps Kickback</t>
  </si>
  <si>
    <t>Seated Dip Machine</t>
  </si>
  <si>
    <t>Close-Grip Dip</t>
  </si>
  <si>
    <t>Keep your upper arm behind your torso throughout the ROM.</t>
  </si>
  <si>
    <t>DB Wrist Curl</t>
  </si>
  <si>
    <t>Cable Wrist Curl</t>
  </si>
  <si>
    <t>Smooth, controlled reps.</t>
  </si>
  <si>
    <t>DB Wrist Extension</t>
  </si>
  <si>
    <t>Cable Wrist Extension</t>
  </si>
  <si>
    <t>Alternating DB Curl</t>
  </si>
  <si>
    <t>Barbell Curl</t>
  </si>
  <si>
    <t>EZ-Bar Curl</t>
  </si>
  <si>
    <t>Slow, controlled reps!</t>
  </si>
  <si>
    <t>Focus on squeezing your side delt to move the weight.</t>
  </si>
  <si>
    <t>Dead Hang (optional)</t>
  </si>
  <si>
    <t>Try to add a few more seconds each week!</t>
  </si>
  <si>
    <t>Week 2</t>
  </si>
  <si>
    <t>Week 3</t>
  </si>
  <si>
    <t>Week 4</t>
  </si>
  <si>
    <t>Week 5</t>
  </si>
  <si>
    <t>Week 6</t>
  </si>
  <si>
    <t>Block 2</t>
  </si>
  <si>
    <t>Deload Week</t>
  </si>
  <si>
    <t>Week 7</t>
  </si>
  <si>
    <t>Week 8</t>
  </si>
  <si>
    <t>Two Drop Sets (~25% per)</t>
  </si>
  <si>
    <t>Lengthened Partials (Extend Set)</t>
  </si>
  <si>
    <t>Myo-reps</t>
  </si>
  <si>
    <t>Weighted Static Hold (30 sec)</t>
  </si>
  <si>
    <t>Week 9</t>
  </si>
  <si>
    <t>Week 10</t>
  </si>
  <si>
    <t>Week 11</t>
  </si>
  <si>
    <t>Week 12</t>
  </si>
  <si>
    <t>Full Body</t>
  </si>
  <si>
    <t>1-2 Rest Days</t>
  </si>
  <si>
    <t>Upper</t>
  </si>
  <si>
    <t>Lower</t>
  </si>
  <si>
    <t>Start each workout with about 5 minutes of light cardio to raise your core body temperature.
Each exercise includes the recommended number of exercise-specific warm-up sets, which should be light and not fatiguing.
For a more detailed breakdown of warm-up protocols, refer to page 13 of the PDF document.</t>
  </si>
  <si>
    <t>Barbell Back Squat</t>
  </si>
  <si>
    <t>Front Squat</t>
  </si>
  <si>
    <t>Pendulum Squat</t>
  </si>
  <si>
    <t>Hack Squat</t>
  </si>
  <si>
    <t>Belt Squat</t>
  </si>
  <si>
    <t>WEEK 1 WORKOUT TRACKER</t>
  </si>
  <si>
    <t>Warm-Up Sets</t>
  </si>
  <si>
    <t>Warm-Up Reps</t>
  </si>
  <si>
    <t>Warm-Up Weight</t>
  </si>
  <si>
    <t>Working Weight</t>
  </si>
  <si>
    <t>Working Reps</t>
  </si>
  <si>
    <t>WEEK 2 WORKOUT TRACKER</t>
  </si>
  <si>
    <t>WEEK 3 WORKOUT TRACKER</t>
  </si>
  <si>
    <t>WEEK 4 WORKOUT TRACKER</t>
  </si>
  <si>
    <t>WEEK 5 WORKOUT TRACKER</t>
  </si>
  <si>
    <t>WEEK 6 WORKOUT TRACKER</t>
  </si>
  <si>
    <t>WEEK 7 WORKOUT TRACKER</t>
  </si>
  <si>
    <t>WEEK 8 WORKOUT TRACKER</t>
  </si>
  <si>
    <t>WEEK 9 WORKOUT TRACKER</t>
  </si>
  <si>
    <t>WEEK 10 WORKOUT TRACKER</t>
  </si>
  <si>
    <t>WEEK 11 WORKOUT TRACKER</t>
  </si>
  <si>
    <t>WEEK 12 WORKOUT TRACKER</t>
  </si>
  <si>
    <t>📊 ANALYTICS DASHBOARD</t>
  </si>
  <si>
    <t>12-Week Training Program Analytics • Enter workout data in Week tabs to populate charts</t>
  </si>
  <si>
    <t>Week</t>
  </si>
  <si>
    <t>Bodyweight (lbs)</t>
  </si>
  <si>
    <t>1️⃣ WEEKLY VOLUME TREND (Per Muscle Group)</t>
  </si>
  <si>
    <t>📈 Chart Type: Stacked Area Chart | Shows total weekly training volume for each major muscle group. Helps identify progressive overload and muscle group imbalances.</t>
  </si>
  <si>
    <t>Muscle Group</t>
  </si>
  <si>
    <t>Wk 1</t>
  </si>
  <si>
    <t>Wk 2</t>
  </si>
  <si>
    <t>Wk 3</t>
  </si>
  <si>
    <t>Wk 4</t>
  </si>
  <si>
    <t>Wk 5</t>
  </si>
  <si>
    <t>Wk 6</t>
  </si>
  <si>
    <t>Wk 7</t>
  </si>
  <si>
    <t>Wk 8</t>
  </si>
  <si>
    <t>Wk 9</t>
  </si>
  <si>
    <t>Wk 10</t>
  </si>
  <si>
    <t>Wk 11</t>
  </si>
  <si>
    <t>Wk 12</t>
  </si>
  <si>
    <t>Quads</t>
  </si>
  <si>
    <t>Hamstrings</t>
  </si>
  <si>
    <t>Glutes</t>
  </si>
  <si>
    <t>Chest</t>
  </si>
  <si>
    <t>Back</t>
  </si>
  <si>
    <t>Shoulders</t>
  </si>
  <si>
    <t>Biceps</t>
  </si>
  <si>
    <t>Triceps</t>
  </si>
  <si>
    <t>Calves</t>
  </si>
  <si>
    <t>💡 Volume = Working Sets × Working Reps × Working Weight. Enter data in weekly tabs to auto-calculate.</t>
  </si>
  <si>
    <t>2️⃣ STRENGTH PROGRESSION (Estimated 1RM)</t>
  </si>
  <si>
    <t>📈 Chart Type: Line Chart | Tracks estimated 1RM for the main lifts to show strength progression over the 12-week block. Formula: Weight × (1 + Reps/30)</t>
  </si>
  <si>
    <t>Main Lift</t>
  </si>
  <si>
    <t>💡 Estimated 1RM = Working Weight × (1 + Working Reps / 30). Epley formula for strength estimation.</t>
  </si>
  <si>
    <t>3️⃣ REPS AT A GIVEN WEIGHT (Performance Consistency)</t>
  </si>
  <si>
    <t>📈 Chart Type: Scatter Plot | Shows how many reps you perform at repeated weights. Increasing reps at the same weight indicates strength gains.</t>
  </si>
  <si>
    <t>Weight</t>
  </si>
  <si>
    <t>Reps (Earliest)</t>
  </si>
  <si>
    <t>Reps (Latest)</t>
  </si>
  <si>
    <t>Rep Gain</t>
  </si>
  <si>
    <t>💡 Enter the weight you want to track and your earliest/latest rep counts at that weight. Rep Gain auto-calculates.</t>
  </si>
  <si>
    <t>4️⃣ WEEKLY BODYWEIGHT TREND</t>
  </si>
  <si>
    <t>📈 Chart Type: Line Chart | Displays weekly bodyweight to contextualize strength and volume changes. Data sourced from Bodyweight Log above (Row 6).</t>
  </si>
  <si>
    <t>Starting Weight</t>
  </si>
  <si>
    <t>Current Weight</t>
  </si>
  <si>
    <t>Change (lbs)</t>
  </si>
  <si>
    <t>Change (%)</t>
  </si>
  <si>
    <t>Average</t>
  </si>
  <si>
    <t>Min/Max</t>
  </si>
  <si>
    <t>5️⃣ STRENGTH-TO-BODYWEIGHT RATIO</t>
  </si>
  <si>
    <t>📈 Chart Type: Dual-Axis Line Chart | Shows relative strength by comparing estimated 1RM to bodyweight. Higher ratio = stronger relative to size.</t>
  </si>
  <si>
    <t>Lift / Ratio</t>
  </si>
  <si>
    <t>Squat 1RM:BW</t>
  </si>
  <si>
    <t>Bench 1RM:BW</t>
  </si>
  <si>
    <t>Deadlift 1RM:BW</t>
  </si>
  <si>
    <t>Combined Total:BW</t>
  </si>
  <si>
    <t>💡 Ratio = Estimated 1RM ÷ Bodyweight. A squat ratio of 1.5 means you can squat 1.5× your bodyweight.</t>
  </si>
  <si>
    <t>Metric</t>
  </si>
  <si>
    <t>Total Tonnage (lbs)</t>
  </si>
  <si>
    <t>Week-over-Week Change</t>
  </si>
  <si>
    <t>-</t>
  </si>
  <si>
    <t>Movement Pattern</t>
  </si>
  <si>
    <t>Core</t>
  </si>
  <si>
    <t>Forearms</t>
  </si>
  <si>
    <t>End of Week Bodyweight:</t>
  </si>
  <si>
    <t>lbs</t>
  </si>
  <si>
    <t>💡 Bodyweight is entered on each Week tab (row 39) and automatically pulled here. Stats auto-calculate.</t>
  </si>
  <si>
    <t>📋 WEEKLY BODYWEIGHT LOG (Auto-populated from Week tabs)</t>
  </si>
  <si>
    <t>Best E1RM</t>
  </si>
  <si>
    <t>Total PRs</t>
  </si>
  <si>
    <t>Wk1</t>
  </si>
  <si>
    <t>Wk2</t>
  </si>
  <si>
    <t>Wk3</t>
  </si>
  <si>
    <t>Wk4</t>
  </si>
  <si>
    <t>Wk5</t>
  </si>
  <si>
    <t>Wk6</t>
  </si>
  <si>
    <t>Wk7</t>
  </si>
  <si>
    <t>Wk8</t>
  </si>
  <si>
    <t>Wk9</t>
  </si>
  <si>
    <t>Wk10</t>
  </si>
  <si>
    <t>Wk11</t>
  </si>
  <si>
    <t>Wk12</t>
  </si>
  <si>
    <t>6️⃣ WEEKLY PR TRACKER - Estimated 1RM Summary</t>
  </si>
  <si>
    <t>PR Week</t>
  </si>
  <si>
    <t>Standing Calf Raise (FB)</t>
  </si>
  <si>
    <t>Standing Calf Raise (Lower)</t>
  </si>
  <si>
    <t>Overhead Cable Triceps Ext</t>
  </si>
  <si>
    <t>High-Cable Lateral Raise (A/D)</t>
  </si>
  <si>
    <t>🏆 NEW PR INDICATORS (✓ = New Personal Record That Week)</t>
  </si>
  <si>
    <t>Shows a ✓ when your E1RM exceeds all previous weeks. Week 1 gets a ✓ if you logged data (it's your first PR!).</t>
  </si>
  <si>
    <t>TOTAL PRs BY WEEK</t>
  </si>
  <si>
    <t>💡 HOW THE PR TRACKER WORKS:</t>
  </si>
  <si>
    <t>• Estimated 1RM is calculated using the Epley Formula: Weight × (1 + Reps/30)</t>
  </si>
  <si>
    <t>• The E1RM table shows your calculated 1RM for each exercise every week</t>
  </si>
  <si>
    <t>• 'Best E1RM' column shows your all-time best, 'PR Week' shows when you achieved it</t>
  </si>
  <si>
    <t>• The PR Indicator table shows a ✓ checkmark whenever you beat your previous best</t>
  </si>
  <si>
    <t>• 'Total PRs' counts how many times you've set a new PR on each exercise</t>
  </si>
  <si>
    <t>7. TOTAL WEEKLY TRAINING LOAD</t>
  </si>
  <si>
    <t>Shows total weekly tonnage (sum of all weight × reps × sets). Helps visualize workload progression. | Chart Type: Column Chart</t>
  </si>
  <si>
    <t>Total</t>
  </si>
  <si>
    <t>Total Working Sets</t>
  </si>
  <si>
    <t>Total Reps</t>
  </si>
  <si>
    <t>Avg Weight/Rep (lbs)</t>
  </si>
  <si>
    <t>8. EXERCISE-SPECIFIC VOLUME TRENDS</t>
  </si>
  <si>
    <t>Shows volume trends for each movement pattern (squat, hinge, push, pull, delts, arms). | Chart Type: Multi-Line Chart</t>
  </si>
  <si>
    <t>Squat (Quad-Dominant)</t>
  </si>
  <si>
    <t>Hinge (Posterior Chain)</t>
  </si>
  <si>
    <t>Horizontal Push (Chest)</t>
  </si>
  <si>
    <t>Vertical Pull (Lats)</t>
  </si>
  <si>
    <t>Horizontal Pull (Back)</t>
  </si>
  <si>
    <t>Delts (Shoulders)</t>
  </si>
  <si>
    <t>TOTAL VOLUME</t>
  </si>
  <si>
    <t>📈 Chart: Select exercises and E1RM data (B65:N91), Insert → Line Chart for strength progression. Or select Total PRs row (B124:M124) → Column Chart for PR frequency by week.</t>
  </si>
  <si>
    <t>9️⃣ AVERAGE INTENSITY TRACKER (% of 1RM)</t>
  </si>
  <si>
    <t>📈 Chart Type: Line Chart | Tracks what percentage of your estimated 1RM you're training at each week. Ideal training intensity is typically 65-85% of 1RM for hypertrophy.</t>
  </si>
  <si>
    <t>Avg</t>
  </si>
  <si>
    <t>📊 WEEKLY AVG INTENSITY</t>
  </si>
  <si>
    <t>💡 Intensity = Working Weight ÷ Estimated 1RM × 100. Target zones: 60-70% (endurance), 70-80% (hypertrophy), 80-90% (strength), 90%+ (peaking). Note: Values &gt;100% indicate E1RM may need updating.</t>
  </si>
  <si>
    <t>⚠️ Note: Pull-Up &amp; Leg Press show &gt;100% because E1RM in row 66-91 may not account for bodyweight (Pull-Up) or use different unit scaling. Update E1RM values for accurate tracking.</t>
  </si>
  <si>
    <t>📘 ABOUT THIS WORKBOOK</t>
  </si>
  <si>
    <t>📌 PURPOSE</t>
  </si>
  <si>
    <t>This workbook is a comprehensive 12-Week Min-Max Training Program tracker designed to log workouts, track progressive overload, and analyze training performance.</t>
  </si>
  <si>
    <t>🏋️ PROGRAM STRUCTURE</t>
  </si>
  <si>
    <t>Duration</t>
  </si>
  <si>
    <t>12 Weeks</t>
  </si>
  <si>
    <t>Frequency</t>
  </si>
  <si>
    <t>4 Days per Week</t>
  </si>
  <si>
    <t>Split</t>
  </si>
  <si>
    <t>Upper/Lower</t>
  </si>
  <si>
    <t>Block 1 (Weeks 1-6)</t>
  </si>
  <si>
    <t>Intro Week → Ramp-Up → Deload</t>
  </si>
  <si>
    <t>Block 2 (Weeks 7-12)</t>
  </si>
  <si>
    <t>Ramp-Up → Peak → Deload</t>
  </si>
  <si>
    <t>Training Style</t>
  </si>
  <si>
    <t>Progressive Overload with RIR-based intensity</t>
  </si>
  <si>
    <t>📑 WORKBOOK STRUCTURE</t>
  </si>
  <si>
    <t>Sheet Name</t>
  </si>
  <si>
    <t>Purpose</t>
  </si>
  <si>
    <t>About</t>
  </si>
  <si>
    <t>Overview and instructions (this page)</t>
  </si>
  <si>
    <t>4x Per Week</t>
  </si>
  <si>
    <t>Master program template with all exercises</t>
  </si>
  <si>
    <t>Week 1 - Week 12</t>
  </si>
  <si>
    <t>Individual weekly workout logs with sets, reps, weight, RIR</t>
  </si>
  <si>
    <t>Analytics Dashboard</t>
  </si>
  <si>
    <t>Performance tracking with 9 analytics sections</t>
  </si>
  <si>
    <t>_DropdownLists</t>
  </si>
  <si>
    <t>Helper sheet for data validation dropdowns</t>
  </si>
  <si>
    <t>📊 ANALYTICS DASHBOARD FEATURES</t>
  </si>
  <si>
    <t>Section</t>
  </si>
  <si>
    <t>Description</t>
  </si>
  <si>
    <t>Chart Type</t>
  </si>
  <si>
    <t>1. Weekly Volume Trend</t>
  </si>
  <si>
    <t>Volume per muscle group over 12 weeks</t>
  </si>
  <si>
    <t>Stacked Area Chart</t>
  </si>
  <si>
    <t>2. Strength Progression (E1RM)</t>
  </si>
  <si>
    <t>Estimated 1RM trends for main lifts</t>
  </si>
  <si>
    <t>Line Chart</t>
  </si>
  <si>
    <t>3. Reps at a Given Weight</t>
  </si>
  <si>
    <t>Performance consistency analysis</t>
  </si>
  <si>
    <t>Scatter Plot</t>
  </si>
  <si>
    <t>4. Weekly Bodyweight Trend</t>
  </si>
  <si>
    <t>Track bodyweight changes with stats</t>
  </si>
  <si>
    <t>5. Strength-to-Bodyweight Ratio</t>
  </si>
  <si>
    <t>Relative strength over time</t>
  </si>
  <si>
    <t>Dual-Axis Line Chart</t>
  </si>
  <si>
    <t>6. Weekly PR Tracker</t>
  </si>
  <si>
    <t>E1RM summary with PR indicators</t>
  </si>
  <si>
    <t>Table with Icons</t>
  </si>
  <si>
    <t>7. Total Weekly Training Load</t>
  </si>
  <si>
    <t>Tonnage, sets, reps, avg weight</t>
  </si>
  <si>
    <t>Summary Table</t>
  </si>
  <si>
    <t>8. Exercise-Specific Volume</t>
  </si>
  <si>
    <t>Volume by movement pattern</t>
  </si>
  <si>
    <t>Multi-Line Chart</t>
  </si>
  <si>
    <t>9. Avg Intensity Tracker</t>
  </si>
  <si>
    <t>Training intensity as % of 1RM</t>
  </si>
  <si>
    <t>🔢 KEY FORMULAS USED</t>
  </si>
  <si>
    <t>Formula</t>
  </si>
  <si>
    <t>Calculation</t>
  </si>
  <si>
    <t>Estimated 1RM (E1RM)</t>
  </si>
  <si>
    <t>Volume (per exercise)</t>
  </si>
  <si>
    <t>Total Tonnage</t>
  </si>
  <si>
    <t>Intensity %</t>
  </si>
  <si>
    <t>Strength-to-BW Ratio</t>
  </si>
  <si>
    <t>📝 HOW TO USE THIS WORKBOOK</t>
  </si>
  <si>
    <t>Step 1</t>
  </si>
  <si>
    <t>Review the '4x Per Week' sheet for the program template</t>
  </si>
  <si>
    <t>Step 2</t>
  </si>
  <si>
    <t>Log each workout in the corresponding Week tab (Week 1-12)</t>
  </si>
  <si>
    <t>Step 3</t>
  </si>
  <si>
    <t>Enter Sets, Weight (lbs), Reps, and RIR for each exercise</t>
  </si>
  <si>
    <t>Step 4</t>
  </si>
  <si>
    <t>Record your Bodyweight in column I of each week</t>
  </si>
  <si>
    <t>Step 5</t>
  </si>
  <si>
    <t>View the Analytics Dashboard for progress tracking</t>
  </si>
  <si>
    <t>Step 6</t>
  </si>
  <si>
    <t>Check for PR indicators (🏆) and adjust training as needed</t>
  </si>
  <si>
    <t>💡 IMPORTANT TRAINING NOTES</t>
  </si>
  <si>
    <t>RIR (Reps in Reserve)</t>
  </si>
  <si>
    <t>How many reps you could have done before failure</t>
  </si>
  <si>
    <t>RIR 3-4</t>
  </si>
  <si>
    <t>Warm-up / early sets</t>
  </si>
  <si>
    <t>RIR 1-2</t>
  </si>
  <si>
    <t>Working sets (most hypertrophy stimulus)</t>
  </si>
  <si>
    <t>RIR 0</t>
  </si>
  <si>
    <t>True failure (use sparingly)</t>
  </si>
  <si>
    <t>Progressive Overload</t>
  </si>
  <si>
    <t>Add weight or reps each week when possible</t>
  </si>
  <si>
    <t>Deload Weeks</t>
  </si>
  <si>
    <t>Reduce volume/intensity for recovery (Weeks 6 &amp; 12)</t>
  </si>
  <si>
    <t>🎯 INTENSITY ZONES REFERENCE</t>
  </si>
  <si>
    <t>Intensity Range</t>
  </si>
  <si>
    <t>Training Zone</t>
  </si>
  <si>
    <t>Indicator</t>
  </si>
  <si>
    <t>60-70% of 1RM</t>
  </si>
  <si>
    <t>Muscular Endurance</t>
  </si>
  <si>
    <t>🟢</t>
  </si>
  <si>
    <t>70-80% of 1RM</t>
  </si>
  <si>
    <t>Hypertrophy (Muscle Growth)</t>
  </si>
  <si>
    <t>🟡</t>
  </si>
  <si>
    <t>80-90% of 1RM</t>
  </si>
  <si>
    <t>Strength</t>
  </si>
  <si>
    <t>🟠</t>
  </si>
  <si>
    <t>90%+ of 1RM</t>
  </si>
  <si>
    <t>Peaking / Max Strength</t>
  </si>
  <si>
    <t>🔴</t>
  </si>
  <si>
    <t>Attribute</t>
  </si>
  <si>
    <t>Details</t>
  </si>
  <si>
    <t>Weight × (1 + Reps ÷ 30)</t>
  </si>
  <si>
    <t>Sets × Reps</t>
  </si>
  <si>
    <t>Sets × Weight × Reps</t>
  </si>
  <si>
    <t>(Working Weight ÷ E1RM) × 100</t>
  </si>
  <si>
    <t>E1RM ÷ Bodyweight</t>
  </si>
  <si>
    <t>Step</t>
  </si>
  <si>
    <t>Instructions</t>
  </si>
  <si>
    <t>Topic</t>
  </si>
  <si>
    <t>Last Updated: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</si>
</sst>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
    <numFmt numFmtId="165" formatCode="0.0%"/>
    <numFmt numFmtId="166" formatCode="0.0"/>
    <numFmt numFmtId="167" formatCode="0.0\%"/>
  </numFmts>
  <fonts count="47" x14ac:knownFonts="1">
    <font>
      <sz val="10"/>
      <color rgb="FF000000"/>
      <name val="Arial"/>
      <scheme val="minor"/>
    </font>
    <font>
      <sz val="10"/>
      <color theme="1"/>
      <name val="Arial"/>
      <family val="2"/>
      <scheme val="minor"/>
    </font>
    <font>
      <b/>
      <sz val="20"/>
      <color rgb="FFFFFFFF"/>
      <name val="Calibri"/>
      <family val="2"/>
    </font>
    <font>
      <sz val="10"/>
      <name val="Arial"/>
      <family val="2"/>
    </font>
    <font>
      <sz val="10"/>
      <color theme="1"/>
      <name val="Arial"/>
      <family val="2"/>
    </font>
    <font>
      <sz val="8"/>
      <color theme="1"/>
      <name val="Calibri"/>
      <family val="2"/>
    </font>
    <font>
      <b/>
      <sz val="12"/>
      <color theme="1"/>
      <name val="Arial"/>
      <family val="2"/>
    </font>
    <font>
      <b/>
      <sz val="18"/>
      <color rgb="FFFFFFFF"/>
      <name val="Arial"/>
      <family val="2"/>
    </font>
    <font>
      <b/>
      <sz val="12"/>
      <color rgb="FFFFFFFF"/>
      <name val="Arial"/>
      <family val="2"/>
    </font>
    <font>
      <b/>
      <sz val="10"/>
      <color rgb="FFFFFFFF"/>
      <name val="Calibri"/>
      <family val="2"/>
    </font>
    <font>
      <b/>
      <sz val="10"/>
      <color rgb="FFFFFFFF"/>
      <name val="Arial"/>
      <family val="2"/>
    </font>
    <font>
      <u/>
      <sz val="10"/>
      <color rgb="FF0000FF"/>
      <name val="Arial"/>
      <family val="2"/>
    </font>
    <font>
      <u/>
      <sz val="10"/>
      <color rgb="FF0000FF"/>
      <name val="Arial"/>
      <family val="2"/>
    </font>
    <font>
      <u/>
      <sz val="10"/>
      <color rgb="FF0000FF"/>
      <name val="Arial"/>
      <family val="2"/>
    </font>
    <font>
      <b/>
      <sz val="10"/>
      <color rgb="FFFFFFFF"/>
      <name val="Arial"/>
      <family val="2"/>
      <scheme val="minor"/>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10"/>
      <color rgb="FFFFFFFF"/>
      <name val="Arial"/>
      <family val="2"/>
      <scheme val="minor"/>
    </font>
    <font>
      <u/>
      <sz val="10"/>
      <color rgb="FF0000FF"/>
      <name val="Arial"/>
      <family val="2"/>
    </font>
    <font>
      <u/>
      <sz val="10"/>
      <color rgb="FF0000FF"/>
      <name val="Arial"/>
      <family val="2"/>
    </font>
    <font>
      <u/>
      <sz val="10"/>
      <color theme="10"/>
      <name val="Arial"/>
      <family val="2"/>
      <scheme val="minor"/>
    </font>
    <font>
      <sz val="10"/>
      <color rgb="FF000000"/>
      <name val="Arial"/>
      <family val="2"/>
      <scheme val="minor"/>
    </font>
    <font>
      <u/>
      <sz val="10"/>
      <color rgb="FF3021EF"/>
      <name val="Arial"/>
      <family val="2"/>
      <scheme val="minor"/>
    </font>
    <font>
      <b/>
      <sz val="10"/>
      <color rgb="FF000000"/>
      <name val="Arial"/>
      <scheme val="minor"/>
    </font>
    <font>
      <b/>
      <sz val="14"/>
      <color rgb="FF000000"/>
      <name val="Arial"/>
      <scheme val="minor"/>
    </font>
    <font>
      <b/>
      <sz val="10"/>
      <color rgb="FFFFFFFF"/>
      <name val="Arial"/>
      <scheme val="minor"/>
    </font>
    <font>
      <b/>
      <sz val="24"/>
      <color rgb="FFFFFFFF"/>
      <name val="Arial"/>
      <scheme val="minor"/>
    </font>
    <font>
      <i/>
      <sz val="10"/>
      <color rgb="FF000000"/>
      <name val="Arial"/>
      <scheme val="minor"/>
    </font>
    <font>
      <i/>
      <sz val="10"/>
      <color rgb="FF666666"/>
      <name val="Arial"/>
      <scheme val="minor"/>
    </font>
    <font>
      <b/>
      <i/>
      <sz val="9"/>
      <color rgb="FF666666"/>
      <name val="Arial"/>
      <scheme val="minor"/>
    </font>
    <font>
      <i/>
      <sz val="9"/>
      <color rgb="FF666666"/>
      <name val="Arial"/>
      <scheme val="minor"/>
    </font>
    <font>
      <b/>
      <sz val="12"/>
      <color rgb="FF000000"/>
      <name val="Arial"/>
      <scheme val="minor"/>
    </font>
    <font>
      <b/>
      <sz val="14"/>
      <color rgb="FFD4AF37"/>
      <name val="Arial"/>
      <scheme val="minor"/>
    </font>
    <font>
      <b/>
      <sz val="12"/>
      <color rgb="FF806000"/>
      <name val="Arial"/>
      <scheme val="minor"/>
    </font>
    <font>
      <b/>
      <sz val="11"/>
      <color rgb="FF2F5496"/>
      <name val="Arial"/>
      <scheme val="minor"/>
    </font>
    <font>
      <sz val="10"/>
      <color rgb="FF666666"/>
      <name val="Arial"/>
      <scheme val="minor"/>
    </font>
    <font>
      <b/>
      <sz val="14"/>
      <color rgb="FFFFFFFF"/>
      <name val="Arial"/>
      <scheme val="minor"/>
    </font>
    <font>
      <i/>
      <sz val="10"/>
      <color rgb="FF996600"/>
      <name val="Arial"/>
      <scheme val="minor"/>
    </font>
    <font>
      <b/>
      <sz val="22"/>
      <color rgb="FF1F4E79"/>
      <name val="Arial"/>
      <scheme val="minor"/>
    </font>
    <font>
      <b/>
      <sz val="14"/>
      <color rgb="FF1F4E79"/>
      <name val="Arial"/>
      <scheme val="minor"/>
    </font>
    <font>
      <i/>
      <sz val="10"/>
      <color rgb="FF808080"/>
      <name val="Arial"/>
      <scheme val="minor"/>
    </font>
  </fonts>
  <fills count="31">
    <fill>
      <patternFill patternType="none"/>
    </fill>
    <fill>
      <patternFill patternType="gray125"/>
    </fill>
    <fill>
      <patternFill patternType="solid">
        <fgColor rgb="FF4B5D38"/>
        <bgColor rgb="FF4B5D38"/>
      </patternFill>
    </fill>
    <fill>
      <patternFill patternType="solid">
        <fgColor rgb="FFF1C232"/>
        <bgColor rgb="FFF1C232"/>
      </patternFill>
    </fill>
    <fill>
      <patternFill patternType="solid">
        <fgColor rgb="FF434343"/>
        <bgColor rgb="FF434343"/>
      </patternFill>
    </fill>
    <fill>
      <patternFill patternType="solid">
        <fgColor rgb="FFC0C0C0"/>
        <bgColor rgb="FFC0C0C0"/>
      </patternFill>
    </fill>
    <fill>
      <patternFill patternType="solid">
        <fgColor rgb="FF80927C"/>
        <bgColor rgb="FF80927C"/>
      </patternFill>
    </fill>
    <fill>
      <patternFill patternType="solid">
        <fgColor rgb="FF595959"/>
        <bgColor rgb="FF595959"/>
      </patternFill>
    </fill>
    <fill>
      <patternFill patternType="solid">
        <fgColor rgb="FFF3F3F3"/>
        <bgColor rgb="FFF3F3F3"/>
      </patternFill>
    </fill>
    <fill>
      <patternFill patternType="solid">
        <fgColor rgb="FF4472C4"/>
        <bgColor indexed="64"/>
      </patternFill>
    </fill>
    <fill>
      <patternFill patternType="solid">
        <fgColor rgb="FFD9E1F2"/>
        <bgColor indexed="64"/>
      </patternFill>
    </fill>
    <fill>
      <patternFill patternType="solid">
        <fgColor rgb="FF1F4E79"/>
        <bgColor indexed="64"/>
      </patternFill>
    </fill>
    <fill>
      <patternFill patternType="solid">
        <fgColor rgb="FFD6DCE5"/>
        <bgColor indexed="64"/>
      </patternFill>
    </fill>
    <fill>
      <patternFill patternType="solid">
        <fgColor rgb="FFBDD7EE"/>
        <bgColor indexed="64"/>
      </patternFill>
    </fill>
    <fill>
      <patternFill patternType="solid">
        <fgColor rgb="FFFFFFD9"/>
        <bgColor indexed="64"/>
      </patternFill>
    </fill>
    <fill>
      <patternFill patternType="solid">
        <fgColor rgb="FFE2EFDA"/>
        <bgColor indexed="64"/>
      </patternFill>
    </fill>
    <fill>
      <patternFill patternType="solid">
        <fgColor rgb="FFC6EFCE"/>
        <bgColor indexed="64"/>
      </patternFill>
    </fill>
    <fill>
      <patternFill patternType="solid">
        <fgColor rgb="FFDDEBF7"/>
        <bgColor indexed="64"/>
      </patternFill>
    </fill>
    <fill>
      <patternFill patternType="solid">
        <fgColor rgb="FFFCE4D6"/>
        <bgColor indexed="64"/>
      </patternFill>
    </fill>
    <fill>
      <patternFill patternType="solid">
        <fgColor rgb="FFF8CBAD"/>
        <bgColor indexed="64"/>
      </patternFill>
    </fill>
    <fill>
      <patternFill patternType="solid">
        <fgColor rgb="FFFFF2CC"/>
        <bgColor indexed="64"/>
      </patternFill>
    </fill>
    <fill>
      <patternFill patternType="solid">
        <fgColor rgb="FFFFFF00"/>
        <bgColor indexed="64"/>
      </patternFill>
    </fill>
    <fill>
      <patternFill patternType="solid">
        <fgColor rgb="FFBF9000"/>
        <bgColor indexed="64"/>
      </patternFill>
    </fill>
    <fill>
      <patternFill patternType="solid">
        <fgColor rgb="FFD6DCE4"/>
        <bgColor indexed="64"/>
      </patternFill>
    </fill>
    <fill>
      <patternFill patternType="solid">
        <fgColor rgb="FF2E75B6"/>
        <bgColor indexed="64"/>
      </patternFill>
    </fill>
    <fill>
      <patternFill patternType="solid">
        <fgColor rgb="FFF0F0F0"/>
        <bgColor indexed="64"/>
      </patternFill>
    </fill>
    <fill>
      <patternFill patternType="solid">
        <fgColor rgb="FFD6E3F8"/>
        <bgColor indexed="64"/>
      </patternFill>
    </fill>
    <fill>
      <patternFill patternType="solid">
        <fgColor rgb="FFF2F2F2"/>
        <bgColor indexed="64"/>
      </patternFill>
    </fill>
    <fill>
      <patternFill patternType="solid">
        <fgColor rgb="FFFFEB9C"/>
        <bgColor indexed="64"/>
      </patternFill>
    </fill>
    <fill>
      <patternFill patternType="solid">
        <fgColor rgb="FFFFCC99"/>
        <bgColor indexed="64"/>
      </patternFill>
    </fill>
    <fill>
      <patternFill patternType="solid">
        <fgColor rgb="FFFFC7CE"/>
        <bgColor indexed="64"/>
      </patternFill>
    </fill>
  </fills>
  <borders count="42">
    <border>
      <left/>
      <right/>
      <top/>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right style="thin">
        <color rgb="FFFFFFFF"/>
      </right>
      <top style="thin">
        <color rgb="FFFFFFFF"/>
      </top>
      <bottom/>
      <diagonal/>
    </border>
    <border>
      <left/>
      <right/>
      <top style="thin">
        <color rgb="FFFFFFFF"/>
      </top>
      <bottom/>
      <diagonal/>
    </border>
    <border>
      <left style="thick">
        <color rgb="FFFFFFFF"/>
      </left>
      <right/>
      <top style="thin">
        <color rgb="FFFFFFFF"/>
      </top>
      <bottom style="thin">
        <color rgb="FFFFFFFF"/>
      </bottom>
      <diagonal/>
    </border>
    <border>
      <left/>
      <right style="thick">
        <color rgb="FFFFFFFF"/>
      </right>
      <top style="thin">
        <color rgb="FFFFFFFF"/>
      </top>
      <bottom style="thin">
        <color rgb="FFFFFFFF"/>
      </bottom>
      <diagonal/>
    </border>
    <border>
      <left style="thin">
        <color rgb="FFFFFFFF"/>
      </left>
      <right style="thin">
        <color rgb="FFFFFFFF"/>
      </right>
      <top/>
      <bottom/>
      <diagonal/>
    </border>
    <border>
      <left/>
      <right style="thin">
        <color rgb="FFFFFFFF"/>
      </right>
      <top/>
      <bottom/>
      <diagonal/>
    </border>
    <border>
      <left/>
      <right/>
      <top/>
      <bottom/>
      <diagonal/>
    </border>
    <border>
      <left style="thin">
        <color rgb="FFFFFFFF"/>
      </left>
      <right/>
      <top/>
      <bottom/>
      <diagonal/>
    </border>
    <border>
      <left style="thick">
        <color rgb="FFFFFFFF"/>
      </left>
      <right/>
      <top style="thin">
        <color rgb="FFFFFFFF"/>
      </top>
      <bottom/>
      <diagonal/>
    </border>
    <border>
      <left/>
      <right style="thick">
        <color rgb="FFFFFFFF"/>
      </right>
      <top style="thin">
        <color rgb="FFFFFFFF"/>
      </top>
      <bottom/>
      <diagonal/>
    </border>
    <border>
      <left/>
      <right style="thin">
        <color rgb="FFFFFFFF"/>
      </right>
      <top/>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right/>
      <top/>
      <bottom style="thin">
        <color rgb="FFFFFFFF"/>
      </bottom>
      <diagonal/>
    </border>
    <border>
      <left style="thick">
        <color rgb="FFFFFFFF"/>
      </left>
      <right/>
      <top/>
      <bottom/>
      <diagonal/>
    </border>
    <border>
      <left/>
      <right style="thick">
        <color rgb="FFFFFFFF"/>
      </right>
      <top/>
      <bottom/>
      <diagonal/>
    </border>
    <border>
      <left style="thin">
        <color rgb="FFFFFFFF"/>
      </left>
      <right/>
      <top/>
      <bottom style="thin">
        <color rgb="FFFFFFFF"/>
      </bottom>
      <diagonal/>
    </border>
    <border>
      <left style="thin">
        <color rgb="FFFFFFFF"/>
      </left>
      <right/>
      <top style="thick">
        <color rgb="FFFFFFFF"/>
      </top>
      <bottom/>
      <diagonal/>
    </border>
    <border>
      <left/>
      <right/>
      <top style="thick">
        <color rgb="FFFFFFFF"/>
      </top>
      <bottom/>
      <diagonal/>
    </border>
    <border>
      <left style="thick">
        <color rgb="FFFFFFFF"/>
      </left>
      <right/>
      <top style="thick">
        <color rgb="FFFFFFFF"/>
      </top>
      <bottom/>
      <diagonal/>
    </border>
    <border>
      <left/>
      <right style="thick">
        <color rgb="FFFFFFFF"/>
      </right>
      <top style="thick">
        <color rgb="FFFFFFFF"/>
      </top>
      <bottom/>
      <diagonal/>
    </border>
    <border>
      <left/>
      <right style="thin">
        <color rgb="FFFFFFFF"/>
      </right>
      <top style="thick">
        <color rgb="FFFFFFFF"/>
      </top>
      <bottom/>
      <diagonal/>
    </border>
    <border>
      <left style="thin">
        <color rgb="FFFFFFFF"/>
      </left>
      <right/>
      <top/>
      <bottom style="thick">
        <color rgb="FFFFFFFF"/>
      </bottom>
      <diagonal/>
    </border>
    <border>
      <left/>
      <right/>
      <top/>
      <bottom style="thick">
        <color rgb="FFFFFFFF"/>
      </bottom>
      <diagonal/>
    </border>
    <border>
      <left style="thick">
        <color rgb="FFFFFFFF"/>
      </left>
      <right/>
      <top/>
      <bottom style="thick">
        <color rgb="FFFFFFFF"/>
      </bottom>
      <diagonal/>
    </border>
    <border>
      <left/>
      <right style="thick">
        <color rgb="FFFFFFFF"/>
      </right>
      <top/>
      <bottom style="thick">
        <color rgb="FFFFFFFF"/>
      </bottom>
      <diagonal/>
    </border>
    <border>
      <left/>
      <right style="thin">
        <color rgb="FFFFFFFF"/>
      </right>
      <top/>
      <bottom style="thick">
        <color rgb="FFFFFFFF"/>
      </bottom>
      <diagonal/>
    </border>
    <border>
      <left style="thin">
        <color rgb="FFFFFFFF"/>
      </left>
      <right/>
      <top style="thick">
        <color rgb="FFFFFFFF"/>
      </top>
      <bottom style="thin">
        <color rgb="FFFFFFFF"/>
      </bottom>
      <diagonal/>
    </border>
    <border>
      <left/>
      <right/>
      <top style="thick">
        <color rgb="FFFFFFFF"/>
      </top>
      <bottom style="thin">
        <color rgb="FFFFFFFF"/>
      </bottom>
      <diagonal/>
    </border>
    <border>
      <left/>
      <right style="thin">
        <color rgb="FFFFFFFF"/>
      </right>
      <top style="thick">
        <color rgb="FFFFFFFF"/>
      </top>
      <bottom style="thin">
        <color rgb="FFFFFFFF"/>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26" fillId="0" borderId="0" applyNumberFormat="0" applyFill="0" applyBorder="0" applyAlignment="0" applyProtection="0"/>
  </cellStyleXfs>
  <cellXfs count="202">
    <xf numFmtId="0" fontId="0" fillId="0" borderId="0" xfId="0"/>
    <xf numFmtId="0" fontId="1" fillId="0" borderId="0" xfId="0" applyFont="1" applyAlignment="1">
      <alignment horizontal="center" vertical="center"/>
    </xf>
    <xf numFmtId="0" fontId="4" fillId="0" borderId="0" xfId="0" applyFont="1"/>
    <xf numFmtId="0" fontId="4" fillId="0" borderId="0" xfId="0" applyFont="1" applyAlignment="1">
      <alignment wrapText="1"/>
    </xf>
    <xf numFmtId="0" fontId="5" fillId="0" borderId="2" xfId="0" applyFont="1" applyBorder="1" applyAlignment="1">
      <alignment horizontal="center" vertical="center" wrapText="1"/>
    </xf>
    <xf numFmtId="0" fontId="1" fillId="0" borderId="0" xfId="0" applyFont="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center" vertical="center" wrapText="1"/>
    </xf>
    <xf numFmtId="0" fontId="4" fillId="0" borderId="0" xfId="0" applyFont="1" applyAlignment="1">
      <alignment vertical="center"/>
    </xf>
    <xf numFmtId="0" fontId="9" fillId="7" borderId="24" xfId="0" applyFont="1" applyFill="1" applyBorder="1" applyAlignment="1">
      <alignment horizontal="center" vertical="center" wrapText="1"/>
    </xf>
    <xf numFmtId="0" fontId="9" fillId="7" borderId="25" xfId="0" applyFont="1" applyFill="1" applyBorder="1" applyAlignment="1">
      <alignment horizontal="center" vertical="center" wrapText="1"/>
    </xf>
    <xf numFmtId="0" fontId="9" fillId="7" borderId="0" xfId="0" applyFont="1" applyFill="1" applyAlignment="1">
      <alignment horizontal="center" vertical="center" wrapText="1"/>
    </xf>
    <xf numFmtId="49" fontId="9" fillId="7" borderId="2" xfId="0" applyNumberFormat="1" applyFont="1" applyFill="1" applyBorder="1" applyAlignment="1">
      <alignment horizontal="center" vertical="center" wrapText="1"/>
    </xf>
    <xf numFmtId="0" fontId="11" fillId="0" borderId="7" xfId="0" applyFont="1" applyBorder="1" applyAlignment="1">
      <alignment horizontal="center" vertical="center" wrapText="1"/>
    </xf>
    <xf numFmtId="0" fontId="4" fillId="0" borderId="7" xfId="0" applyFont="1" applyBorder="1" applyAlignment="1">
      <alignment horizontal="center" vertical="center" wrapText="1"/>
    </xf>
    <xf numFmtId="164" fontId="4" fillId="0" borderId="7" xfId="0" applyNumberFormat="1" applyFont="1" applyBorder="1" applyAlignment="1">
      <alignment horizontal="center" vertical="center" wrapText="1"/>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wrapText="1"/>
    </xf>
    <xf numFmtId="0" fontId="12" fillId="0" borderId="0" xfId="0" applyFont="1" applyAlignment="1">
      <alignment horizontal="center" vertical="center" wrapText="1"/>
    </xf>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0" xfId="0" applyFont="1" applyAlignment="1">
      <alignment horizontal="center" vertical="center"/>
    </xf>
    <xf numFmtId="0" fontId="4" fillId="0" borderId="20" xfId="0" applyFont="1" applyBorder="1" applyAlignment="1">
      <alignment horizontal="center" vertical="center" wrapText="1"/>
    </xf>
    <xf numFmtId="0" fontId="13" fillId="0" borderId="0" xfId="0" applyFont="1" applyAlignment="1">
      <alignment horizontal="center" vertical="center" wrapText="1"/>
    </xf>
    <xf numFmtId="0" fontId="4" fillId="0" borderId="36" xfId="0" applyFont="1" applyBorder="1" applyAlignment="1">
      <alignment horizontal="center" vertical="center" wrapText="1"/>
    </xf>
    <xf numFmtId="0" fontId="15" fillId="8" borderId="28" xfId="0" applyFont="1" applyFill="1" applyBorder="1" applyAlignment="1">
      <alignment horizontal="center" vertical="center" wrapText="1"/>
    </xf>
    <xf numFmtId="0" fontId="1" fillId="8" borderId="28" xfId="0" applyFont="1" applyFill="1" applyBorder="1" applyAlignment="1">
      <alignment horizontal="center" vertical="center" wrapText="1"/>
    </xf>
    <xf numFmtId="164" fontId="1" fillId="8" borderId="28" xfId="0" applyNumberFormat="1" applyFont="1" applyFill="1" applyBorder="1" applyAlignment="1">
      <alignment horizontal="center" vertical="center"/>
    </xf>
    <xf numFmtId="0" fontId="1" fillId="8" borderId="28" xfId="0" applyFont="1" applyFill="1" applyBorder="1" applyAlignment="1">
      <alignment horizontal="center" vertical="center"/>
    </xf>
    <xf numFmtId="0" fontId="1" fillId="8" borderId="29" xfId="0" applyFont="1" applyFill="1" applyBorder="1" applyAlignment="1">
      <alignment horizontal="center" vertical="center"/>
    </xf>
    <xf numFmtId="0" fontId="1" fillId="8" borderId="30" xfId="0" applyFont="1" applyFill="1" applyBorder="1" applyAlignment="1">
      <alignment horizontal="center" vertical="center"/>
    </xf>
    <xf numFmtId="0" fontId="1" fillId="8" borderId="31" xfId="0" applyFont="1" applyFill="1" applyBorder="1" applyAlignment="1">
      <alignment horizontal="center" vertical="center" wrapText="1"/>
    </xf>
    <xf numFmtId="0" fontId="16" fillId="5" borderId="0" xfId="0" applyFont="1" applyFill="1" applyAlignment="1">
      <alignment horizontal="center" vertical="center" wrapText="1"/>
    </xf>
    <xf numFmtId="0" fontId="1" fillId="5" borderId="0" xfId="0" applyFont="1" applyFill="1" applyAlignment="1">
      <alignment horizontal="center" vertical="center" wrapText="1"/>
    </xf>
    <xf numFmtId="164" fontId="1" fillId="5" borderId="0" xfId="0" applyNumberFormat="1" applyFont="1" applyFill="1" applyAlignment="1">
      <alignment horizontal="center" vertical="center"/>
    </xf>
    <xf numFmtId="0" fontId="1" fillId="5" borderId="0" xfId="0" applyFont="1" applyFill="1" applyAlignment="1">
      <alignment horizontal="center" vertical="center"/>
    </xf>
    <xf numFmtId="0" fontId="1" fillId="5" borderId="24" xfId="0" applyFont="1" applyFill="1" applyBorder="1" applyAlignment="1">
      <alignment horizontal="center" vertical="center"/>
    </xf>
    <xf numFmtId="0" fontId="1" fillId="5" borderId="25" xfId="0" applyFont="1" applyFill="1" applyBorder="1" applyAlignment="1">
      <alignment horizontal="center" vertical="center"/>
    </xf>
    <xf numFmtId="0" fontId="1" fillId="5" borderId="20" xfId="0" applyFont="1" applyFill="1" applyBorder="1" applyAlignment="1">
      <alignment horizontal="center" vertical="center" wrapText="1"/>
    </xf>
    <xf numFmtId="0" fontId="17" fillId="8" borderId="0" xfId="0" applyFont="1" applyFill="1" applyAlignment="1">
      <alignment horizontal="center" vertical="center" wrapText="1"/>
    </xf>
    <xf numFmtId="0" fontId="1" fillId="8" borderId="0" xfId="0" applyFont="1" applyFill="1" applyAlignment="1">
      <alignment horizontal="center" vertical="center" wrapText="1"/>
    </xf>
    <xf numFmtId="164" fontId="1" fillId="8" borderId="0" xfId="0" applyNumberFormat="1" applyFont="1" applyFill="1" applyAlignment="1">
      <alignment horizontal="center" vertical="center"/>
    </xf>
    <xf numFmtId="0" fontId="1" fillId="8" borderId="0" xfId="0" applyFont="1" applyFill="1" applyAlignment="1">
      <alignment horizontal="center" vertical="center"/>
    </xf>
    <xf numFmtId="0" fontId="1" fillId="8" borderId="24" xfId="0" applyFont="1" applyFill="1" applyBorder="1" applyAlignment="1">
      <alignment horizontal="center" vertical="center"/>
    </xf>
    <xf numFmtId="0" fontId="1" fillId="8" borderId="25" xfId="0" applyFont="1" applyFill="1" applyBorder="1" applyAlignment="1">
      <alignment horizontal="center" vertical="center"/>
    </xf>
    <xf numFmtId="0" fontId="1" fillId="8" borderId="20" xfId="0" applyFont="1" applyFill="1" applyBorder="1" applyAlignment="1">
      <alignment horizontal="center" vertical="center" wrapText="1"/>
    </xf>
    <xf numFmtId="0" fontId="18" fillId="5" borderId="0" xfId="0" applyFont="1" applyFill="1" applyAlignment="1">
      <alignment horizontal="center" vertical="center" wrapText="1"/>
    </xf>
    <xf numFmtId="0" fontId="19" fillId="8" borderId="0" xfId="0" applyFont="1" applyFill="1" applyAlignment="1">
      <alignment horizontal="center" vertical="center" wrapText="1"/>
    </xf>
    <xf numFmtId="0" fontId="20" fillId="5" borderId="28" xfId="0" applyFont="1" applyFill="1" applyBorder="1" applyAlignment="1">
      <alignment horizontal="center" vertical="center" wrapText="1"/>
    </xf>
    <xf numFmtId="0" fontId="1" fillId="5" borderId="28" xfId="0" applyFont="1" applyFill="1" applyBorder="1" applyAlignment="1">
      <alignment horizontal="center" vertical="center" wrapText="1"/>
    </xf>
    <xf numFmtId="164" fontId="1" fillId="5" borderId="28" xfId="0" applyNumberFormat="1" applyFont="1" applyFill="1" applyBorder="1" applyAlignment="1">
      <alignment horizontal="center" vertical="center"/>
    </xf>
    <xf numFmtId="0" fontId="1" fillId="5" borderId="28" xfId="0" applyFont="1" applyFill="1" applyBorder="1" applyAlignment="1">
      <alignment horizontal="center" vertical="center"/>
    </xf>
    <xf numFmtId="0" fontId="1" fillId="5" borderId="29" xfId="0" applyFont="1" applyFill="1" applyBorder="1" applyAlignment="1">
      <alignment horizontal="center" vertical="center"/>
    </xf>
    <xf numFmtId="0" fontId="1" fillId="5" borderId="30" xfId="0" applyFont="1" applyFill="1" applyBorder="1" applyAlignment="1">
      <alignment horizontal="center" vertical="center"/>
    </xf>
    <xf numFmtId="0" fontId="1" fillId="5" borderId="31" xfId="0" applyFont="1" applyFill="1" applyBorder="1" applyAlignment="1">
      <alignment horizontal="center" vertical="center" wrapText="1"/>
    </xf>
    <xf numFmtId="0" fontId="21" fillId="5" borderId="33" xfId="0" applyFont="1" applyFill="1" applyBorder="1" applyAlignment="1">
      <alignment horizontal="center" vertical="center" wrapText="1"/>
    </xf>
    <xf numFmtId="0" fontId="1" fillId="5" borderId="33" xfId="0" applyFont="1" applyFill="1" applyBorder="1" applyAlignment="1">
      <alignment horizontal="center" vertical="center" wrapText="1"/>
    </xf>
    <xf numFmtId="0" fontId="1" fillId="5" borderId="33" xfId="0" applyFont="1" applyFill="1" applyBorder="1" applyAlignment="1">
      <alignment horizontal="center" vertical="center"/>
    </xf>
    <xf numFmtId="0" fontId="1" fillId="5" borderId="34" xfId="0" applyFont="1" applyFill="1" applyBorder="1" applyAlignment="1">
      <alignment horizontal="center" vertical="center"/>
    </xf>
    <xf numFmtId="0" fontId="1" fillId="5" borderId="35" xfId="0" applyFont="1" applyFill="1" applyBorder="1" applyAlignment="1">
      <alignment horizontal="center" vertical="center"/>
    </xf>
    <xf numFmtId="0" fontId="22" fillId="8" borderId="33" xfId="0" applyFont="1" applyFill="1" applyBorder="1" applyAlignment="1">
      <alignment horizontal="center" vertical="center" wrapText="1"/>
    </xf>
    <xf numFmtId="0" fontId="1" fillId="8" borderId="33" xfId="0" applyFont="1" applyFill="1" applyBorder="1" applyAlignment="1">
      <alignment horizontal="center" vertical="center" wrapText="1"/>
    </xf>
    <xf numFmtId="0" fontId="1" fillId="8" borderId="33" xfId="0" applyFont="1" applyFill="1" applyBorder="1" applyAlignment="1">
      <alignment horizontal="center" vertical="center"/>
    </xf>
    <xf numFmtId="0" fontId="1" fillId="8" borderId="34" xfId="0" applyFont="1" applyFill="1" applyBorder="1" applyAlignment="1">
      <alignment horizontal="center" vertical="center"/>
    </xf>
    <xf numFmtId="0" fontId="1" fillId="8" borderId="35" xfId="0" applyFont="1" applyFill="1" applyBorder="1" applyAlignment="1">
      <alignment horizontal="center" vertical="center"/>
    </xf>
    <xf numFmtId="164" fontId="1" fillId="8" borderId="33" xfId="0" applyNumberFormat="1" applyFont="1" applyFill="1" applyBorder="1" applyAlignment="1">
      <alignment horizontal="center" vertical="center"/>
    </xf>
    <xf numFmtId="0" fontId="1" fillId="8" borderId="36"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24" fillId="0" borderId="28" xfId="0" applyFont="1" applyBorder="1" applyAlignment="1">
      <alignment horizontal="center" vertical="center" wrapText="1"/>
    </xf>
    <xf numFmtId="0" fontId="1" fillId="0" borderId="28" xfId="0" applyFont="1" applyBorder="1" applyAlignment="1">
      <alignment horizontal="center" vertical="center" wrapText="1"/>
    </xf>
    <xf numFmtId="164" fontId="1" fillId="0" borderId="28" xfId="0" applyNumberFormat="1"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wrapText="1"/>
    </xf>
    <xf numFmtId="164" fontId="1" fillId="0" borderId="0" xfId="0" applyNumberFormat="1" applyFont="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0" borderId="20" xfId="0" applyFont="1" applyBorder="1" applyAlignment="1">
      <alignment horizontal="center" vertical="center" wrapText="1"/>
    </xf>
    <xf numFmtId="0" fontId="25" fillId="0" borderId="33"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33" xfId="0" applyFont="1" applyBorder="1" applyAlignment="1">
      <alignment horizontal="center" vertical="center"/>
    </xf>
    <xf numFmtId="164" fontId="1" fillId="0" borderId="33" xfId="0" applyNumberFormat="1" applyFont="1" applyBorder="1" applyAlignment="1">
      <alignment horizontal="center" vertical="center"/>
    </xf>
    <xf numFmtId="0" fontId="1" fillId="0" borderId="34" xfId="0" applyFont="1" applyBorder="1" applyAlignment="1">
      <alignment horizontal="center" vertical="center"/>
    </xf>
    <xf numFmtId="0" fontId="1" fillId="0" borderId="35" xfId="0" applyFont="1" applyBorder="1" applyAlignment="1">
      <alignment horizontal="center" vertical="center"/>
    </xf>
    <xf numFmtId="0" fontId="1" fillId="0" borderId="36" xfId="0" applyFont="1" applyBorder="1" applyAlignment="1">
      <alignment horizontal="center" vertical="center" wrapText="1"/>
    </xf>
    <xf numFmtId="0" fontId="28" fillId="0" borderId="0" xfId="1" applyFont="1" applyAlignment="1">
      <alignment horizontal="center" vertical="center" wrapText="1"/>
    </xf>
    <xf numFmtId="0" fontId="29" fillId="0" borderId="0" xfId="0" applyFont="1"/>
    <xf numFmtId="0" fontId="30" fillId="0" borderId="0" xfId="0" applyFont="1"/>
    <xf numFmtId="0" fontId="31" fillId="9" borderId="0" xfId="0" applyFont="1" applyFill="1"/>
    <xf numFmtId="0" fontId="29" fillId="10" borderId="0" xfId="0" applyFont="1" applyFill="1"/>
    <xf numFmtId="0" fontId="34" fillId="0" borderId="0" xfId="0" applyFont="1"/>
    <xf numFmtId="0" fontId="29" fillId="13" borderId="0" xfId="0" applyFont="1" applyFill="1"/>
    <xf numFmtId="0" fontId="29" fillId="16" borderId="0" xfId="0" applyFont="1" applyFill="1"/>
    <xf numFmtId="0" fontId="29" fillId="19" borderId="0" xfId="0" applyFont="1" applyFill="1"/>
    <xf numFmtId="165" fontId="0" fillId="0" borderId="0" xfId="0" applyNumberFormat="1"/>
    <xf numFmtId="166" fontId="0" fillId="0" borderId="0" xfId="0" applyNumberFormat="1"/>
    <xf numFmtId="2" fontId="0" fillId="0" borderId="0" xfId="0" applyNumberFormat="1"/>
    <xf numFmtId="3" fontId="0" fillId="0" borderId="0" xfId="0" applyNumberFormat="1"/>
    <xf numFmtId="0" fontId="37" fillId="0" borderId="0" xfId="0" applyFont="1"/>
    <xf numFmtId="166" fontId="0" fillId="21" borderId="40" xfId="0" applyNumberFormat="1" applyFill="1" applyBorder="1" applyAlignment="1">
      <alignment horizontal="center"/>
    </xf>
    <xf numFmtId="166" fontId="0" fillId="14" borderId="0" xfId="0" applyNumberFormat="1" applyFill="1"/>
    <xf numFmtId="0" fontId="38" fillId="0" borderId="0" xfId="0" applyFont="1"/>
    <xf numFmtId="0" fontId="31" fillId="9" borderId="0" xfId="0" applyFont="1" applyFill="1" applyAlignment="1">
      <alignment horizontal="center"/>
    </xf>
    <xf numFmtId="0" fontId="0" fillId="0" borderId="41" xfId="0" applyBorder="1" applyAlignment="1">
      <alignment horizontal="center"/>
    </xf>
    <xf numFmtId="0" fontId="29" fillId="0" borderId="41" xfId="0" applyFont="1" applyBorder="1" applyAlignment="1">
      <alignment horizontal="left"/>
    </xf>
    <xf numFmtId="0" fontId="29" fillId="15" borderId="41" xfId="0" applyFont="1" applyFill="1" applyBorder="1" applyAlignment="1">
      <alignment horizontal="center"/>
    </xf>
    <xf numFmtId="0" fontId="29" fillId="20" borderId="41" xfId="0" applyFont="1" applyFill="1" applyBorder="1" applyAlignment="1">
      <alignment horizontal="center"/>
    </xf>
    <xf numFmtId="0" fontId="39" fillId="0" borderId="16" xfId="0" applyFont="1" applyBorder="1" applyAlignment="1">
      <alignment horizontal="left"/>
    </xf>
    <xf numFmtId="0" fontId="31" fillId="22" borderId="0" xfId="0" applyFont="1" applyFill="1" applyAlignment="1">
      <alignment horizontal="center"/>
    </xf>
    <xf numFmtId="0" fontId="29" fillId="12" borderId="0" xfId="0" applyFont="1" applyFill="1" applyAlignment="1">
      <alignment horizontal="center"/>
    </xf>
    <xf numFmtId="0" fontId="29" fillId="12" borderId="0" xfId="0" applyFont="1" applyFill="1" applyAlignment="1">
      <alignment horizontal="left"/>
    </xf>
    <xf numFmtId="0" fontId="40" fillId="0" borderId="0" xfId="0" applyFont="1"/>
    <xf numFmtId="0" fontId="41" fillId="0" borderId="0" xfId="0" applyFont="1"/>
    <xf numFmtId="0" fontId="31" fillId="24" borderId="0" xfId="0" applyFont="1" applyFill="1"/>
    <xf numFmtId="0" fontId="0" fillId="17" borderId="0" xfId="0" applyFill="1"/>
    <xf numFmtId="3" fontId="0" fillId="17" borderId="0" xfId="0" applyNumberFormat="1" applyFill="1"/>
    <xf numFmtId="165" fontId="0" fillId="17" borderId="0" xfId="0" applyNumberFormat="1" applyFill="1"/>
    <xf numFmtId="3" fontId="29" fillId="13" borderId="0" xfId="0" applyNumberFormat="1" applyFont="1" applyFill="1"/>
    <xf numFmtId="0" fontId="29" fillId="15" borderId="0" xfId="0" applyFont="1" applyFill="1"/>
    <xf numFmtId="0" fontId="43" fillId="0" borderId="0" xfId="0" applyFont="1"/>
    <xf numFmtId="167" fontId="0" fillId="0" borderId="0" xfId="0" applyNumberFormat="1"/>
    <xf numFmtId="167" fontId="29" fillId="15" borderId="0" xfId="0" applyNumberFormat="1" applyFont="1" applyFill="1"/>
    <xf numFmtId="0" fontId="10" fillId="6" borderId="6" xfId="0" applyFont="1" applyFill="1" applyBorder="1" applyAlignment="1">
      <alignment horizontal="center" vertical="center" wrapText="1"/>
    </xf>
    <xf numFmtId="0" fontId="3" fillId="0" borderId="17" xfId="0" applyFont="1" applyBorder="1"/>
    <xf numFmtId="0" fontId="3" fillId="0" borderId="26" xfId="0" applyFont="1" applyBorder="1"/>
    <xf numFmtId="0" fontId="10" fillId="6" borderId="27" xfId="0" applyFont="1" applyFill="1" applyBorder="1" applyAlignment="1">
      <alignment horizontal="center" vertical="center" wrapText="1"/>
    </xf>
    <xf numFmtId="0" fontId="3" fillId="0" borderId="32" xfId="0" applyFont="1" applyBorder="1"/>
    <xf numFmtId="0" fontId="9" fillId="7" borderId="9" xfId="0" applyFont="1" applyFill="1" applyBorder="1" applyAlignment="1">
      <alignment horizontal="center" vertical="center" wrapText="1"/>
    </xf>
    <xf numFmtId="0" fontId="3" fillId="0" borderId="14" xfId="0" applyFont="1" applyBorder="1"/>
    <xf numFmtId="0" fontId="3" fillId="0" borderId="21" xfId="0" applyFont="1" applyBorder="1"/>
    <xf numFmtId="0" fontId="9" fillId="7" borderId="10" xfId="0" applyFont="1" applyFill="1" applyBorder="1" applyAlignment="1">
      <alignment horizontal="center" vertical="center" wrapText="1"/>
    </xf>
    <xf numFmtId="0" fontId="3" fillId="0" borderId="15" xfId="0" applyFont="1" applyBorder="1"/>
    <xf numFmtId="0" fontId="3" fillId="0" borderId="22" xfId="0" applyFont="1" applyBorder="1"/>
    <xf numFmtId="49" fontId="9" fillId="7" borderId="10" xfId="0" applyNumberFormat="1" applyFont="1" applyFill="1" applyBorder="1" applyAlignment="1">
      <alignment horizontal="center" vertical="center" wrapText="1"/>
    </xf>
    <xf numFmtId="0" fontId="9" fillId="7" borderId="11" xfId="0" applyFont="1" applyFill="1" applyBorder="1" applyAlignment="1">
      <alignment horizontal="center" vertical="center" wrapText="1"/>
    </xf>
    <xf numFmtId="0" fontId="3" fillId="0" borderId="16" xfId="0" applyFont="1" applyBorder="1"/>
    <xf numFmtId="0" fontId="3" fillId="0" borderId="23" xfId="0" applyFont="1" applyBorder="1"/>
    <xf numFmtId="49" fontId="9" fillId="7" borderId="6" xfId="0" applyNumberFormat="1" applyFont="1" applyFill="1" applyBorder="1" applyAlignment="1">
      <alignment horizontal="center" vertical="center" wrapText="1"/>
    </xf>
    <xf numFmtId="0" fontId="9" fillId="7" borderId="12" xfId="0" applyFont="1" applyFill="1" applyBorder="1" applyAlignment="1">
      <alignment horizontal="center" vertical="center" wrapText="1"/>
    </xf>
    <xf numFmtId="0" fontId="3" fillId="0" borderId="4" xfId="0" applyFont="1" applyBorder="1"/>
    <xf numFmtId="0" fontId="3" fillId="0" borderId="13" xfId="0" applyFont="1" applyBorder="1"/>
    <xf numFmtId="49" fontId="9" fillId="7" borderId="7" xfId="0" applyNumberFormat="1" applyFont="1" applyFill="1" applyBorder="1" applyAlignment="1">
      <alignment horizontal="center" vertical="center" wrapText="1"/>
    </xf>
    <xf numFmtId="0" fontId="3" fillId="0" borderId="8" xfId="0" applyFont="1" applyBorder="1"/>
    <xf numFmtId="0" fontId="0" fillId="0" borderId="0" xfId="0"/>
    <xf numFmtId="0" fontId="3" fillId="0" borderId="20" xfId="0" applyFont="1" applyBorder="1"/>
    <xf numFmtId="49" fontId="9" fillId="7" borderId="8" xfId="0" applyNumberFormat="1" applyFont="1" applyFill="1" applyBorder="1" applyAlignment="1">
      <alignment horizontal="center" vertical="center" wrapText="1"/>
    </xf>
    <xf numFmtId="0" fontId="3" fillId="0" borderId="2" xfId="0" applyFont="1" applyBorder="1"/>
    <xf numFmtId="0" fontId="9" fillId="7" borderId="18" xfId="0" applyFont="1" applyFill="1" applyBorder="1" applyAlignment="1">
      <alignment horizontal="center" vertical="center" wrapText="1"/>
    </xf>
    <xf numFmtId="0" fontId="3" fillId="0" borderId="19" xfId="0" applyFont="1" applyBorder="1"/>
    <xf numFmtId="0" fontId="9" fillId="7" borderId="7" xfId="0" applyFont="1" applyFill="1" applyBorder="1" applyAlignment="1">
      <alignment horizontal="center" vertical="center" wrapText="1"/>
    </xf>
    <xf numFmtId="0" fontId="14" fillId="7" borderId="27" xfId="0" applyFont="1" applyFill="1" applyBorder="1" applyAlignment="1">
      <alignment horizontal="center" vertical="center"/>
    </xf>
    <xf numFmtId="0" fontId="3" fillId="8" borderId="28" xfId="0" applyFont="1" applyFill="1" applyBorder="1"/>
    <xf numFmtId="0" fontId="3" fillId="8" borderId="31" xfId="0" applyFont="1" applyFill="1" applyBorder="1"/>
    <xf numFmtId="0" fontId="2" fillId="2" borderId="1" xfId="0" applyFont="1" applyFill="1" applyBorder="1" applyAlignment="1">
      <alignment horizontal="center" wrapText="1"/>
    </xf>
    <xf numFmtId="0" fontId="3" fillId="0" borderId="1" xfId="0" applyFont="1" applyBorder="1"/>
    <xf numFmtId="0" fontId="6" fillId="3" borderId="0" xfId="0" applyFont="1" applyFill="1" applyAlignment="1">
      <alignment horizontal="center" wrapText="1"/>
    </xf>
    <xf numFmtId="0" fontId="8" fillId="4" borderId="3" xfId="0" applyFont="1" applyFill="1" applyBorder="1" applyAlignment="1">
      <alignment horizontal="center" vertical="center" wrapText="1"/>
    </xf>
    <xf numFmtId="0" fontId="3" fillId="0" borderId="5" xfId="0" applyFont="1" applyBorder="1"/>
    <xf numFmtId="0" fontId="4" fillId="5" borderId="3" xfId="0" applyFont="1" applyFill="1" applyBorder="1" applyAlignment="1">
      <alignment horizontal="center" vertical="center" wrapText="1"/>
    </xf>
    <xf numFmtId="0" fontId="7" fillId="6" borderId="6" xfId="0" applyFont="1" applyFill="1" applyBorder="1" applyAlignment="1">
      <alignment horizontal="center" vertical="center"/>
    </xf>
    <xf numFmtId="0" fontId="3" fillId="0" borderId="7" xfId="0" applyFont="1" applyBorder="1"/>
    <xf numFmtId="0" fontId="7" fillId="3" borderId="6" xfId="0" applyFont="1" applyFill="1" applyBorder="1" applyAlignment="1">
      <alignment horizontal="center" vertical="center"/>
    </xf>
    <xf numFmtId="0" fontId="14" fillId="7" borderId="37" xfId="0" applyFont="1" applyFill="1" applyBorder="1" applyAlignment="1">
      <alignment horizontal="center" vertical="center"/>
    </xf>
    <xf numFmtId="0" fontId="3" fillId="0" borderId="38" xfId="0" applyFont="1" applyBorder="1"/>
    <xf numFmtId="0" fontId="3" fillId="0" borderId="39" xfId="0" applyFont="1" applyBorder="1"/>
    <xf numFmtId="0" fontId="14" fillId="7" borderId="26" xfId="0" applyFont="1" applyFill="1" applyBorder="1" applyAlignment="1">
      <alignment horizontal="center" vertical="center"/>
    </xf>
    <xf numFmtId="0" fontId="23" fillId="0" borderId="0" xfId="0" applyFont="1" applyAlignment="1">
      <alignment horizontal="center" vertical="center"/>
    </xf>
    <xf numFmtId="0" fontId="3" fillId="8" borderId="1" xfId="0" applyFont="1" applyFill="1" applyBorder="1"/>
    <xf numFmtId="0" fontId="3" fillId="8" borderId="2" xfId="0" applyFont="1" applyFill="1" applyBorder="1"/>
    <xf numFmtId="0" fontId="35" fillId="0" borderId="0" xfId="0" applyFont="1"/>
    <xf numFmtId="0" fontId="29" fillId="0" borderId="0" xfId="0" applyFont="1"/>
    <xf numFmtId="0" fontId="32" fillId="11" borderId="0" xfId="0" applyFont="1" applyFill="1" applyAlignment="1">
      <alignment horizontal="center"/>
    </xf>
    <xf numFmtId="0" fontId="34" fillId="0" borderId="0" xfId="0" applyFont="1" applyAlignment="1">
      <alignment horizontal="center"/>
    </xf>
    <xf numFmtId="0" fontId="30" fillId="12" borderId="0" xfId="0" applyFont="1" applyFill="1"/>
    <xf numFmtId="0" fontId="30" fillId="15" borderId="0" xfId="0" applyFont="1" applyFill="1"/>
    <xf numFmtId="0" fontId="33" fillId="0" borderId="0" xfId="0" applyFont="1" applyAlignment="1">
      <alignment wrapText="1"/>
    </xf>
    <xf numFmtId="0" fontId="30" fillId="17" borderId="0" xfId="0" applyFont="1" applyFill="1"/>
    <xf numFmtId="0" fontId="30" fillId="18" borderId="0" xfId="0" applyFont="1" applyFill="1"/>
    <xf numFmtId="0" fontId="36" fillId="0" borderId="0" xfId="0" applyFont="1"/>
    <xf numFmtId="0" fontId="33" fillId="23" borderId="0" xfId="0" applyFont="1" applyFill="1"/>
    <xf numFmtId="0" fontId="42" fillId="11" borderId="0" xfId="0" applyFont="1" applyFill="1"/>
    <xf numFmtId="0" fontId="30" fillId="11" borderId="0" xfId="0" applyFont="1" applyFill="1"/>
    <xf numFmtId="0" fontId="34" fillId="25" borderId="0" xfId="0" applyFont="1" applyFill="1"/>
    <xf numFmtId="0" fontId="34" fillId="0" borderId="0" xfId="0" applyFont="1"/>
    <xf numFmtId="0" fontId="42" fillId="11" borderId="16" xfId="0" applyFont="1" applyFill="1" applyBorder="1"/>
    <xf numFmtId="0" fontId="0" fillId="0" borderId="0" xfId="0" applyAlignment="1">
      <alignment wrapText="1"/>
    </xf>
    <xf numFmtId="0" fontId="45" fillId="0" borderId="0" xfId="0" applyFont="1"/>
    <xf numFmtId="0" fontId="44" fillId="26" borderId="0" xfId="0" applyFont="1" applyFill="1" applyAlignment="1">
      <alignment vertical="center"/>
    </xf>
    <xf numFmtId="0" fontId="0" fillId="26" borderId="0" xfId="0" applyFill="1"/>
    <xf numFmtId="0" fontId="0" fillId="27" borderId="0" xfId="0" applyFill="1"/>
    <xf numFmtId="0" fontId="45" fillId="27" borderId="0" xfId="0" applyFont="1" applyFill="1"/>
    <xf numFmtId="0" fontId="0" fillId="16" borderId="0" xfId="0" applyFill="1"/>
    <xf numFmtId="0" fontId="0" fillId="0" borderId="0" xfId="0" applyAlignment="1">
      <alignment horizontal="center"/>
    </xf>
    <xf numFmtId="0" fontId="0" fillId="28" borderId="0" xfId="0" applyFill="1"/>
    <xf numFmtId="0" fontId="0" fillId="29" borderId="0" xfId="0" applyFill="1"/>
    <xf numFmtId="0" fontId="0" fillId="30" borderId="0" xfId="0" applyFill="1"/>
    <xf numFmtId="0" fontId="46" fillId="0" borderId="0" xfId="0" applyFont="1"/>
  </cellXfs>
  <cellStyles count="2">
    <cellStyle name="Hyperlink" xfId="1" builtinId="8"/>
    <cellStyle name="Normal" xfId="0" builtinId="0"/>
  </cellStyles>
  <dxfs count="50">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F3F3F3"/>
          <bgColor rgb="FFF3F3F3"/>
        </patternFill>
      </fill>
    </dxf>
    <dxf>
      <fill>
        <patternFill patternType="solid">
          <fgColor rgb="FFC0C0C0"/>
          <bgColor rgb="FFC0C0C0"/>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
      <fill>
        <patternFill patternType="solid">
          <fgColor rgb="FFC0C0C0"/>
          <bgColor rgb="FFC0C0C0"/>
        </patternFill>
      </fill>
    </dxf>
    <dxf>
      <fill>
        <patternFill patternType="solid">
          <fgColor rgb="FFF3F3F3"/>
          <bgColor rgb="FFF3F3F3"/>
        </patternFill>
      </fill>
    </dxf>
  </dxfs>
  <tableStyles count="25">
    <tableStyle name="5x Per Week-style" pivot="0" count="2" xr9:uid="{00000000-0011-0000-FFFF-FFFF00000000}">
      <tableStyleElement type="firstRowStripe" dxfId="49"/>
      <tableStyleElement type="secondRowStripe" dxfId="48"/>
    </tableStyle>
    <tableStyle name="5x Per Week-style 2" pivot="0" count="2" xr9:uid="{00000000-0011-0000-FFFF-FFFF01000000}">
      <tableStyleElement type="firstRowStripe" dxfId="47"/>
      <tableStyleElement type="secondRowStripe" dxfId="46"/>
    </tableStyle>
    <tableStyle name="5x Per Week-style 3" pivot="0" count="2" xr9:uid="{00000000-0011-0000-FFFF-FFFF02000000}">
      <tableStyleElement type="firstRowStripe" dxfId="45"/>
      <tableStyleElement type="secondRowStripe" dxfId="44"/>
    </tableStyle>
    <tableStyle name="5x Per Week-style 4" pivot="0" count="2" xr9:uid="{00000000-0011-0000-FFFF-FFFF03000000}">
      <tableStyleElement type="firstRowStripe" dxfId="43"/>
      <tableStyleElement type="secondRowStripe" dxfId="42"/>
    </tableStyle>
    <tableStyle name="5x Per Week-style 5" pivot="0" count="2" xr9:uid="{00000000-0011-0000-FFFF-FFFF04000000}">
      <tableStyleElement type="firstRowStripe" dxfId="41"/>
      <tableStyleElement type="secondRowStripe" dxfId="40"/>
    </tableStyle>
    <tableStyle name="5x Per Week-style 6" pivot="0" count="2" xr9:uid="{00000000-0011-0000-FFFF-FFFF05000000}">
      <tableStyleElement type="firstRowStripe" dxfId="39"/>
      <tableStyleElement type="secondRowStripe" dxfId="38"/>
    </tableStyle>
    <tableStyle name="5x Per Week-style 7" pivot="0" count="2" xr9:uid="{00000000-0011-0000-FFFF-FFFF06000000}">
      <tableStyleElement type="firstRowStripe" dxfId="37"/>
      <tableStyleElement type="secondRowStripe" dxfId="36"/>
    </tableStyle>
    <tableStyle name="5x Per Week-style 8" pivot="0" count="2" xr9:uid="{00000000-0011-0000-FFFF-FFFF07000000}">
      <tableStyleElement type="firstRowStripe" dxfId="35"/>
      <tableStyleElement type="secondRowStripe" dxfId="34"/>
    </tableStyle>
    <tableStyle name="5x Per Week-style 9" pivot="0" count="2" xr9:uid="{00000000-0011-0000-FFFF-FFFF08000000}">
      <tableStyleElement type="firstRowStripe" dxfId="33"/>
      <tableStyleElement type="secondRowStripe" dxfId="32"/>
    </tableStyle>
    <tableStyle name="5x Per Week-style 10" pivot="0" count="2" xr9:uid="{00000000-0011-0000-FFFF-FFFF09000000}">
      <tableStyleElement type="firstRowStripe" dxfId="31"/>
      <tableStyleElement type="secondRowStripe" dxfId="30"/>
    </tableStyle>
    <tableStyle name="5x Per Week-style 11" pivot="0" count="2" xr9:uid="{00000000-0011-0000-FFFF-FFFF0A000000}">
      <tableStyleElement type="firstRowStripe" dxfId="29"/>
      <tableStyleElement type="secondRowStripe" dxfId="28"/>
    </tableStyle>
    <tableStyle name="5x Per Week-style 12" pivot="0" count="2" xr9:uid="{00000000-0011-0000-FFFF-FFFF0B000000}">
      <tableStyleElement type="firstRowStripe" dxfId="27"/>
      <tableStyleElement type="secondRowStripe" dxfId="26"/>
    </tableStyle>
    <tableStyle name="4x Per Week-style" pivot="0" count="2" xr9:uid="{00000000-0011-0000-FFFF-FFFF0C000000}">
      <tableStyleElement type="firstRowStripe" dxfId="25"/>
      <tableStyleElement type="secondRowStripe" dxfId="24"/>
    </tableStyle>
    <tableStyle name="4x Per Week-style 2" pivot="0" count="2" xr9:uid="{00000000-0011-0000-FFFF-FFFF0D000000}">
      <tableStyleElement type="firstRowStripe" dxfId="23"/>
      <tableStyleElement type="secondRowStripe" dxfId="22"/>
    </tableStyle>
    <tableStyle name="4x Per Week-style 3" pivot="0" count="2" xr9:uid="{00000000-0011-0000-FFFF-FFFF0E000000}">
      <tableStyleElement type="firstRowStripe" dxfId="21"/>
      <tableStyleElement type="secondRowStripe" dxfId="20"/>
    </tableStyle>
    <tableStyle name="4x Per Week-style 4" pivot="0" count="2" xr9:uid="{00000000-0011-0000-FFFF-FFFF0F000000}">
      <tableStyleElement type="firstRowStripe" dxfId="19"/>
      <tableStyleElement type="secondRowStripe" dxfId="18"/>
    </tableStyle>
    <tableStyle name="4x Per Week-style 5" pivot="0" count="2" xr9:uid="{00000000-0011-0000-FFFF-FFFF10000000}">
      <tableStyleElement type="firstRowStripe" dxfId="17"/>
      <tableStyleElement type="secondRowStripe" dxfId="16"/>
    </tableStyle>
    <tableStyle name="4x Per Week-style 6" pivot="0" count="2" xr9:uid="{00000000-0011-0000-FFFF-FFFF11000000}">
      <tableStyleElement type="firstRowStripe" dxfId="15"/>
      <tableStyleElement type="secondRowStripe" dxfId="14"/>
    </tableStyle>
    <tableStyle name="4x Per Week-style 7" pivot="0" count="2" xr9:uid="{00000000-0011-0000-FFFF-FFFF12000000}">
      <tableStyleElement type="firstRowStripe" dxfId="13"/>
      <tableStyleElement type="secondRowStripe" dxfId="12"/>
    </tableStyle>
    <tableStyle name="4x Per Week-style 8" pivot="0" count="2" xr9:uid="{00000000-0011-0000-FFFF-FFFF13000000}">
      <tableStyleElement type="firstRowStripe" dxfId="11"/>
      <tableStyleElement type="secondRowStripe" dxfId="10"/>
    </tableStyle>
    <tableStyle name="4x Per Week-style 9" pivot="0" count="2" xr9:uid="{00000000-0011-0000-FFFF-FFFF14000000}">
      <tableStyleElement type="firstRowStripe" dxfId="9"/>
      <tableStyleElement type="secondRowStripe" dxfId="8"/>
    </tableStyle>
    <tableStyle name="4x Per Week-style 10" pivot="0" count="2" xr9:uid="{00000000-0011-0000-FFFF-FFFF15000000}">
      <tableStyleElement type="firstRowStripe" dxfId="7"/>
      <tableStyleElement type="secondRowStripe" dxfId="6"/>
    </tableStyle>
    <tableStyle name="4x Per Week-style 11" pivot="0" count="2" xr9:uid="{00000000-0011-0000-FFFF-FFFF16000000}">
      <tableStyleElement type="firstRowStripe" dxfId="5"/>
      <tableStyleElement type="secondRowStripe" dxfId="4"/>
    </tableStyle>
    <tableStyle name="4x Per Week-style 12" pivot="0" count="2" xr9:uid="{00000000-0011-0000-FFFF-FFFF17000000}">
      <tableStyleElement type="firstRowStripe" dxfId="3"/>
      <tableStyleElement type="secondRowStripe" dxfId="2"/>
    </tableStyle>
    <tableStyle name="4x Per Week-style 13" pivot="0" count="2" xr9:uid="{00000000-0011-0000-FFFF-FFFF18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C15:Q20" headerRowCount="0">
  <tableColumns count="15">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s>
  <tableStyleInfo name="4x Per Week-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C22:Q42" headerRowCount="0">
  <tableColumns count="15">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s>
  <tableStyleInfo name="4x Per Week-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5" displayName="Table_15" ref="C49:Q54" headerRowCount="0">
  <tableColumns count="15">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s>
  <tableStyleInfo name="4x Per Week-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6" displayName="Table_16" ref="C83:Q88" headerRowCount="0">
  <tableColumns count="15">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s>
  <tableStyleInfo name="4x Per Week-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7" displayName="Table_17" ref="C117:Q122" headerRowCount="0">
  <tableColumns count="15">
    <tableColumn id="1" xr3:uid="{00000000-0010-0000-1000-000001000000}" name="Column1"/>
    <tableColumn id="2" xr3:uid="{00000000-0010-0000-1000-000002000000}" name="Column2"/>
    <tableColumn id="3" xr3:uid="{00000000-0010-0000-1000-000003000000}" name="Column3"/>
    <tableColumn id="4" xr3:uid="{00000000-0010-0000-1000-000004000000}" name="Column4"/>
    <tableColumn id="5" xr3:uid="{00000000-0010-0000-1000-000005000000}" name="Column5"/>
    <tableColumn id="6" xr3:uid="{00000000-0010-0000-1000-000006000000}" name="Column6"/>
    <tableColumn id="7" xr3:uid="{00000000-0010-0000-1000-000007000000}" name="Column7"/>
    <tableColumn id="8" xr3:uid="{00000000-0010-0000-1000-000008000000}" name="Column8"/>
    <tableColumn id="9" xr3:uid="{00000000-0010-0000-1000-000009000000}" name="Column9"/>
    <tableColumn id="10" xr3:uid="{00000000-0010-0000-1000-00000A000000}" name="Column10"/>
    <tableColumn id="11" xr3:uid="{00000000-0010-0000-1000-00000B000000}" name="Column11"/>
    <tableColumn id="12" xr3:uid="{00000000-0010-0000-1000-00000C000000}" name="Column12"/>
    <tableColumn id="13" xr3:uid="{00000000-0010-0000-1000-00000D000000}" name="Column13"/>
    <tableColumn id="14" xr3:uid="{00000000-0010-0000-1000-00000E000000}" name="Column14"/>
    <tableColumn id="15" xr3:uid="{00000000-0010-0000-1000-00000F000000}" name="Column15"/>
  </tableColumns>
  <tableStyleInfo name="4x Per Week-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8" displayName="Table_18" ref="C151:Q156" headerRowCount="0">
  <tableColumns count="15">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s>
  <tableStyleInfo name="4x Per Week-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9" displayName="Table_19" ref="C185:Q190" headerRowCount="0">
  <tableColumns count="15">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s>
  <tableStyleInfo name="4x Per Week-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20" displayName="Table_20" ref="C221:Q226" headerRowCount="0">
  <tableColumns count="15">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s>
  <tableStyleInfo name="4x Per Week-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C255:Q260" headerRowCount="0">
  <tableColumns count="15">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s>
  <tableStyleInfo name="4x Per Week-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2" displayName="Table_22" ref="C289:Q294" headerRowCount="0">
  <tableColumns count="15">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s>
  <tableStyleInfo name="4x Per Week-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3" displayName="Table_23" ref="C323:Q328" headerRowCount="0">
  <tableColumns count="15">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s>
  <tableStyleInfo name="4x Per Week-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4" displayName="Table_24" ref="C357:Q362" headerRowCount="0">
  <tableColumns count="15">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s>
  <tableStyleInfo name="4x Per Week-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5" displayName="Table_25" ref="C391:Q396" headerRowCount="0">
  <tableColumns count="15">
    <tableColumn id="1" xr3:uid="{00000000-0010-0000-1800-000001000000}" name="Column1"/>
    <tableColumn id="2" xr3:uid="{00000000-0010-0000-1800-000002000000}" name="Column2"/>
    <tableColumn id="3" xr3:uid="{00000000-0010-0000-1800-000003000000}" name="Column3"/>
    <tableColumn id="4" xr3:uid="{00000000-0010-0000-1800-000004000000}" name="Column4"/>
    <tableColumn id="5" xr3:uid="{00000000-0010-0000-1800-000005000000}" name="Column5"/>
    <tableColumn id="6" xr3:uid="{00000000-0010-0000-1800-000006000000}" name="Column6"/>
    <tableColumn id="7" xr3:uid="{00000000-0010-0000-1800-000007000000}" name="Column7"/>
    <tableColumn id="8" xr3:uid="{00000000-0010-0000-1800-000008000000}" name="Column8"/>
    <tableColumn id="9" xr3:uid="{00000000-0010-0000-1800-000009000000}" name="Column9"/>
    <tableColumn id="10" xr3:uid="{00000000-0010-0000-1800-00000A000000}" name="Column10"/>
    <tableColumn id="11" xr3:uid="{00000000-0010-0000-1800-00000B000000}" name="Column11"/>
    <tableColumn id="12" xr3:uid="{00000000-0010-0000-1800-00000C000000}" name="Column12"/>
    <tableColumn id="13" xr3:uid="{00000000-0010-0000-1800-00000D000000}" name="Column13"/>
    <tableColumn id="14" xr3:uid="{00000000-0010-0000-1800-00000E000000}" name="Column14"/>
    <tableColumn id="15" xr3:uid="{00000000-0010-0000-1800-00000F000000}" name="Column15"/>
  </tableColumns>
  <tableStyleInfo name="4x Per Week-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youtu.be/ELgSmlwFsFQ" TargetMode="External"/><Relationship Id="rId671" Type="http://schemas.openxmlformats.org/officeDocument/2006/relationships/hyperlink" Target="https://youtu.be/q3agRhqt_WA" TargetMode="External"/><Relationship Id="rId769" Type="http://schemas.openxmlformats.org/officeDocument/2006/relationships/hyperlink" Target="https://youtu.be/Z8OrSIk_574" TargetMode="External"/><Relationship Id="rId21" Type="http://schemas.openxmlformats.org/officeDocument/2006/relationships/hyperlink" Target="https://youtu.be/Cmcv44jiQd0" TargetMode="External"/><Relationship Id="rId324" Type="http://schemas.openxmlformats.org/officeDocument/2006/relationships/hyperlink" Target="https://youtu.be/DX1WzS7k0Uc" TargetMode="External"/><Relationship Id="rId531" Type="http://schemas.openxmlformats.org/officeDocument/2006/relationships/hyperlink" Target="https://youtu.be/WMkCGNwo5ts" TargetMode="External"/><Relationship Id="rId629" Type="http://schemas.openxmlformats.org/officeDocument/2006/relationships/hyperlink" Target="https://youtu.be/G0_M9LBCT0o" TargetMode="External"/><Relationship Id="rId170" Type="http://schemas.openxmlformats.org/officeDocument/2006/relationships/hyperlink" Target="https://youtu.be/2KDc6iAcrAw" TargetMode="External"/><Relationship Id="rId836" Type="http://schemas.openxmlformats.org/officeDocument/2006/relationships/hyperlink" Target="https://youtu.be/2KDc6iAcrAw" TargetMode="External"/><Relationship Id="rId268" Type="http://schemas.openxmlformats.org/officeDocument/2006/relationships/hyperlink" Target="https://youtu.be/ksBaBSfmZf4" TargetMode="External"/><Relationship Id="rId475" Type="http://schemas.openxmlformats.org/officeDocument/2006/relationships/hyperlink" Target="https://youtu.be/WkI6IHmYORY" TargetMode="External"/><Relationship Id="rId682" Type="http://schemas.openxmlformats.org/officeDocument/2006/relationships/hyperlink" Target="https://youtu.be/7l859qd4E48" TargetMode="External"/><Relationship Id="rId903" Type="http://schemas.openxmlformats.org/officeDocument/2006/relationships/table" Target="../tables/table1.xml"/><Relationship Id="rId32" Type="http://schemas.openxmlformats.org/officeDocument/2006/relationships/hyperlink" Target="https://youtu.be/MXGZHJFQ9bE" TargetMode="External"/><Relationship Id="rId128" Type="http://schemas.openxmlformats.org/officeDocument/2006/relationships/hyperlink" Target="https://youtu.be/vneVQlN7LR4" TargetMode="External"/><Relationship Id="rId335" Type="http://schemas.openxmlformats.org/officeDocument/2006/relationships/hyperlink" Target="https://youtu.be/Ma99aw-VDJQ" TargetMode="External"/><Relationship Id="rId542" Type="http://schemas.openxmlformats.org/officeDocument/2006/relationships/hyperlink" Target="https://youtu.be/0EqU6-o3PAw" TargetMode="External"/><Relationship Id="rId181" Type="http://schemas.openxmlformats.org/officeDocument/2006/relationships/hyperlink" Target="https://youtu.be/STZ3Twq5fgc" TargetMode="External"/><Relationship Id="rId402" Type="http://schemas.openxmlformats.org/officeDocument/2006/relationships/hyperlink" Target="https://youtu.be/MXGZHJFQ9bE" TargetMode="External"/><Relationship Id="rId847" Type="http://schemas.openxmlformats.org/officeDocument/2006/relationships/hyperlink" Target="https://youtu.be/STZ3Twq5fgc" TargetMode="External"/><Relationship Id="rId279" Type="http://schemas.openxmlformats.org/officeDocument/2006/relationships/hyperlink" Target="https://youtu.be/1n6xrEI5g0Q" TargetMode="External"/><Relationship Id="rId486" Type="http://schemas.openxmlformats.org/officeDocument/2006/relationships/hyperlink" Target="https://youtu.be/FCe6PIQbB-s" TargetMode="External"/><Relationship Id="rId693" Type="http://schemas.openxmlformats.org/officeDocument/2006/relationships/hyperlink" Target="https://youtu.be/qmyToaabqdQ" TargetMode="External"/><Relationship Id="rId707" Type="http://schemas.openxmlformats.org/officeDocument/2006/relationships/hyperlink" Target="https://youtu.be/CaryZp20CuI" TargetMode="External"/><Relationship Id="rId914" Type="http://schemas.openxmlformats.org/officeDocument/2006/relationships/table" Target="../tables/table12.xml"/><Relationship Id="rId43" Type="http://schemas.openxmlformats.org/officeDocument/2006/relationships/hyperlink" Target="https://youtu.be/ELgSmlwFsFQ" TargetMode="External"/><Relationship Id="rId139" Type="http://schemas.openxmlformats.org/officeDocument/2006/relationships/hyperlink" Target="https://youtu.be/S9NEwbiYEBE" TargetMode="External"/><Relationship Id="rId346" Type="http://schemas.openxmlformats.org/officeDocument/2006/relationships/hyperlink" Target="https://youtu.be/-mcxziH_KdM" TargetMode="External"/><Relationship Id="rId553" Type="http://schemas.openxmlformats.org/officeDocument/2006/relationships/hyperlink" Target="https://youtu.be/Q_n8cSQLhog" TargetMode="External"/><Relationship Id="rId760" Type="http://schemas.openxmlformats.org/officeDocument/2006/relationships/hyperlink" Target="https://youtu.be/QZ7VZpjNTG8" TargetMode="External"/><Relationship Id="rId192" Type="http://schemas.openxmlformats.org/officeDocument/2006/relationships/hyperlink" Target="https://youtu.be/8RwbLtfLu6A" TargetMode="External"/><Relationship Id="rId206" Type="http://schemas.openxmlformats.org/officeDocument/2006/relationships/hyperlink" Target="https://youtu.be/J0l0qQCy80Q" TargetMode="External"/><Relationship Id="rId413" Type="http://schemas.openxmlformats.org/officeDocument/2006/relationships/hyperlink" Target="https://youtu.be/ELgSmlwFsFQ" TargetMode="External"/><Relationship Id="rId858" Type="http://schemas.openxmlformats.org/officeDocument/2006/relationships/hyperlink" Target="https://youtu.be/8RwbLtfLu6A" TargetMode="External"/><Relationship Id="rId497" Type="http://schemas.openxmlformats.org/officeDocument/2006/relationships/hyperlink" Target="https://youtu.be/Nf1_Ok0LDcI" TargetMode="External"/><Relationship Id="rId620" Type="http://schemas.openxmlformats.org/officeDocument/2006/relationships/hyperlink" Target="https://youtu.be/DX1WzS7k0Uc" TargetMode="External"/><Relationship Id="rId718" Type="http://schemas.openxmlformats.org/officeDocument/2006/relationships/hyperlink" Target="https://youtu.be/_w_Uan2dG-4" TargetMode="External"/><Relationship Id="rId357" Type="http://schemas.openxmlformats.org/officeDocument/2006/relationships/hyperlink" Target="https://youtu.be/FGJ64JyKod0" TargetMode="External"/><Relationship Id="rId54" Type="http://schemas.openxmlformats.org/officeDocument/2006/relationships/hyperlink" Target="https://youtu.be/vneVQlN7LR4" TargetMode="External"/><Relationship Id="rId217" Type="http://schemas.openxmlformats.org/officeDocument/2006/relationships/hyperlink" Target="https://youtu.be/UvxrIuG-Xeg" TargetMode="External"/><Relationship Id="rId564" Type="http://schemas.openxmlformats.org/officeDocument/2006/relationships/hyperlink" Target="https://youtu.be/ksBaBSfmZf4" TargetMode="External"/><Relationship Id="rId771" Type="http://schemas.openxmlformats.org/officeDocument/2006/relationships/hyperlink" Target="https://youtu.be/WkI6IHmYORY" TargetMode="External"/><Relationship Id="rId869" Type="http://schemas.openxmlformats.org/officeDocument/2006/relationships/hyperlink" Target="https://youtu.be/7GvY7yTEepM" TargetMode="External"/><Relationship Id="rId424" Type="http://schemas.openxmlformats.org/officeDocument/2006/relationships/hyperlink" Target="https://youtu.be/vneVQlN7LR4" TargetMode="External"/><Relationship Id="rId631" Type="http://schemas.openxmlformats.org/officeDocument/2006/relationships/hyperlink" Target="https://youtu.be/Ma99aw-VDJQ" TargetMode="External"/><Relationship Id="rId729" Type="http://schemas.openxmlformats.org/officeDocument/2006/relationships/hyperlink" Target="https://youtu.be/G7bonPtkitM" TargetMode="External"/><Relationship Id="rId270" Type="http://schemas.openxmlformats.org/officeDocument/2006/relationships/hyperlink" Target="https://youtu.be/UGwmUJkTIx8" TargetMode="External"/><Relationship Id="rId65" Type="http://schemas.openxmlformats.org/officeDocument/2006/relationships/hyperlink" Target="https://youtu.be/S9NEwbiYEBE" TargetMode="External"/><Relationship Id="rId130" Type="http://schemas.openxmlformats.org/officeDocument/2006/relationships/hyperlink" Target="https://youtu.be/5KX0EjOTMaI" TargetMode="External"/><Relationship Id="rId368" Type="http://schemas.openxmlformats.org/officeDocument/2006/relationships/hyperlink" Target="https://youtu.be/DX1WzS7k0Uc" TargetMode="External"/><Relationship Id="rId575" Type="http://schemas.openxmlformats.org/officeDocument/2006/relationships/hyperlink" Target="https://youtu.be/1n6xrEI5g0Q" TargetMode="External"/><Relationship Id="rId782" Type="http://schemas.openxmlformats.org/officeDocument/2006/relationships/hyperlink" Target="https://youtu.be/FCe6PIQbB-s" TargetMode="External"/><Relationship Id="rId228" Type="http://schemas.openxmlformats.org/officeDocument/2006/relationships/hyperlink" Target="https://youtu.be/dhSKkQdUzoA" TargetMode="External"/><Relationship Id="rId435" Type="http://schemas.openxmlformats.org/officeDocument/2006/relationships/hyperlink" Target="https://youtu.be/S9NEwbiYEBE" TargetMode="External"/><Relationship Id="rId642" Type="http://schemas.openxmlformats.org/officeDocument/2006/relationships/hyperlink" Target="https://youtu.be/-mcxziH_KdM" TargetMode="External"/><Relationship Id="rId281" Type="http://schemas.openxmlformats.org/officeDocument/2006/relationships/hyperlink" Target="https://youtu.be/AS4FeNiHyKg" TargetMode="External"/><Relationship Id="rId502" Type="http://schemas.openxmlformats.org/officeDocument/2006/relationships/hyperlink" Target="https://youtu.be/J0l0qQCy80Q" TargetMode="External"/><Relationship Id="rId76" Type="http://schemas.openxmlformats.org/officeDocument/2006/relationships/hyperlink" Target="https://youtu.be/oWJBLChYZOQ" TargetMode="External"/><Relationship Id="rId141" Type="http://schemas.openxmlformats.org/officeDocument/2006/relationships/hyperlink" Target="https://youtu.be/_KI-O0zMv60" TargetMode="External"/><Relationship Id="rId379" Type="http://schemas.openxmlformats.org/officeDocument/2006/relationships/hyperlink" Target="https://youtu.be/nc6pAci8Tpg" TargetMode="External"/><Relationship Id="rId586" Type="http://schemas.openxmlformats.org/officeDocument/2006/relationships/hyperlink" Target="https://youtu.be/kSxgX6HIYxQ" TargetMode="External"/><Relationship Id="rId793" Type="http://schemas.openxmlformats.org/officeDocument/2006/relationships/hyperlink" Target="https://youtu.be/Nf1_Ok0LDcI" TargetMode="External"/><Relationship Id="rId807" Type="http://schemas.openxmlformats.org/officeDocument/2006/relationships/hyperlink" Target="https://youtu.be/_KI-O0zMv60" TargetMode="External"/><Relationship Id="rId7" Type="http://schemas.openxmlformats.org/officeDocument/2006/relationships/hyperlink" Target="https://youtu.be/xaOQJjzNrd8" TargetMode="External"/><Relationship Id="rId239" Type="http://schemas.openxmlformats.org/officeDocument/2006/relationships/hyperlink" Target="https://youtu.be/3DnqKKfz6wY" TargetMode="External"/><Relationship Id="rId446" Type="http://schemas.openxmlformats.org/officeDocument/2006/relationships/hyperlink" Target="https://youtu.be/oWJBLChYZOQ" TargetMode="External"/><Relationship Id="rId653" Type="http://schemas.openxmlformats.org/officeDocument/2006/relationships/hyperlink" Target="https://youtu.be/FGJ64JyKod0" TargetMode="External"/><Relationship Id="rId292" Type="http://schemas.openxmlformats.org/officeDocument/2006/relationships/hyperlink" Target="https://youtu.be/wXjPZdhUzBQ" TargetMode="External"/><Relationship Id="rId306" Type="http://schemas.openxmlformats.org/officeDocument/2006/relationships/hyperlink" Target="https://youtu.be/oB27u_w3pX4" TargetMode="External"/><Relationship Id="rId860" Type="http://schemas.openxmlformats.org/officeDocument/2006/relationships/hyperlink" Target="https://youtu.be/ksBaBSfmZf4" TargetMode="External"/><Relationship Id="rId87" Type="http://schemas.openxmlformats.org/officeDocument/2006/relationships/hyperlink" Target="https://youtu.be/WMkCGNwo5ts" TargetMode="External"/><Relationship Id="rId513" Type="http://schemas.openxmlformats.org/officeDocument/2006/relationships/hyperlink" Target="https://youtu.be/UvxrIuG-Xeg" TargetMode="External"/><Relationship Id="rId597" Type="http://schemas.openxmlformats.org/officeDocument/2006/relationships/hyperlink" Target="https://youtu.be/q3agRhqt_WA" TargetMode="External"/><Relationship Id="rId720" Type="http://schemas.openxmlformats.org/officeDocument/2006/relationships/hyperlink" Target="https://youtu.be/vneVQlN7LR4" TargetMode="External"/><Relationship Id="rId818" Type="http://schemas.openxmlformats.org/officeDocument/2006/relationships/hyperlink" Target="https://youtu.be/ad0NL7TH2-I" TargetMode="External"/><Relationship Id="rId152" Type="http://schemas.openxmlformats.org/officeDocument/2006/relationships/hyperlink" Target="https://youtu.be/ad0NL7TH2-I" TargetMode="External"/><Relationship Id="rId457" Type="http://schemas.openxmlformats.org/officeDocument/2006/relationships/hyperlink" Target="https://youtu.be/WMkCGNwo5ts" TargetMode="External"/><Relationship Id="rId664" Type="http://schemas.openxmlformats.org/officeDocument/2006/relationships/hyperlink" Target="https://youtu.be/DX1WzS7k0Uc" TargetMode="External"/><Relationship Id="rId871" Type="http://schemas.openxmlformats.org/officeDocument/2006/relationships/hyperlink" Target="https://youtu.be/1n6xrEI5g0Q" TargetMode="External"/><Relationship Id="rId14" Type="http://schemas.openxmlformats.org/officeDocument/2006/relationships/hyperlink" Target="https://youtu.be/-mcxziH_KdM" TargetMode="External"/><Relationship Id="rId317" Type="http://schemas.openxmlformats.org/officeDocument/2006/relationships/hyperlink" Target="https://youtu.be/Cmcv44jiQd0" TargetMode="External"/><Relationship Id="rId524" Type="http://schemas.openxmlformats.org/officeDocument/2006/relationships/hyperlink" Target="https://youtu.be/dhSKkQdUzoA" TargetMode="External"/><Relationship Id="rId731" Type="http://schemas.openxmlformats.org/officeDocument/2006/relationships/hyperlink" Target="https://youtu.be/S9NEwbiYEBE" TargetMode="External"/><Relationship Id="rId98" Type="http://schemas.openxmlformats.org/officeDocument/2006/relationships/hyperlink" Target="https://youtu.be/0EqU6-o3PAw" TargetMode="External"/><Relationship Id="rId163" Type="http://schemas.openxmlformats.org/officeDocument/2006/relationships/hyperlink" Target="https://youtu.be/LC9SO-pIXqA" TargetMode="External"/><Relationship Id="rId370" Type="http://schemas.openxmlformats.org/officeDocument/2006/relationships/hyperlink" Target="https://youtu.be/5M8uPbfQsbg" TargetMode="External"/><Relationship Id="rId829" Type="http://schemas.openxmlformats.org/officeDocument/2006/relationships/hyperlink" Target="https://youtu.be/LC9SO-pIXqA" TargetMode="External"/><Relationship Id="rId230" Type="http://schemas.openxmlformats.org/officeDocument/2006/relationships/hyperlink" Target="https://youtu.be/xxnjF6ljHmg" TargetMode="External"/><Relationship Id="rId468" Type="http://schemas.openxmlformats.org/officeDocument/2006/relationships/hyperlink" Target="https://youtu.be/0EqU6-o3PAw" TargetMode="External"/><Relationship Id="rId675" Type="http://schemas.openxmlformats.org/officeDocument/2006/relationships/hyperlink" Target="https://youtu.be/nc6pAci8Tpg" TargetMode="External"/><Relationship Id="rId882" Type="http://schemas.openxmlformats.org/officeDocument/2006/relationships/hyperlink" Target="https://youtu.be/kSxgX6HIYxQ" TargetMode="External"/><Relationship Id="rId25" Type="http://schemas.openxmlformats.org/officeDocument/2006/relationships/hyperlink" Target="https://youtu.be/qTSTOVVr8rU" TargetMode="External"/><Relationship Id="rId328" Type="http://schemas.openxmlformats.org/officeDocument/2006/relationships/hyperlink" Target="https://youtu.be/MXGZHJFQ9bE" TargetMode="External"/><Relationship Id="rId535" Type="http://schemas.openxmlformats.org/officeDocument/2006/relationships/hyperlink" Target="https://youtu.be/3DnqKKfz6wY" TargetMode="External"/><Relationship Id="rId742" Type="http://schemas.openxmlformats.org/officeDocument/2006/relationships/hyperlink" Target="https://youtu.be/oWJBLChYZOQ" TargetMode="External"/><Relationship Id="rId174" Type="http://schemas.openxmlformats.org/officeDocument/2006/relationships/hyperlink" Target="https://youtu.be/cJ8JrXUQ3xQ" TargetMode="External"/><Relationship Id="rId381" Type="http://schemas.openxmlformats.org/officeDocument/2006/relationships/hyperlink" Target="https://youtu.be/nDl3VjkLPQE" TargetMode="External"/><Relationship Id="rId602" Type="http://schemas.openxmlformats.org/officeDocument/2006/relationships/hyperlink" Target="https://youtu.be/oB27u_w3pX4" TargetMode="External"/><Relationship Id="rId241" Type="http://schemas.openxmlformats.org/officeDocument/2006/relationships/hyperlink" Target="https://youtu.be/-FAxUZoPDc4" TargetMode="External"/><Relationship Id="rId479" Type="http://schemas.openxmlformats.org/officeDocument/2006/relationships/hyperlink" Target="https://youtu.be/Q_n8cSQLhog" TargetMode="External"/><Relationship Id="rId686" Type="http://schemas.openxmlformats.org/officeDocument/2006/relationships/hyperlink" Target="https://youtu.be/QZ7VZpjNTG8" TargetMode="External"/><Relationship Id="rId893" Type="http://schemas.openxmlformats.org/officeDocument/2006/relationships/hyperlink" Target="https://youtu.be/v3N4tpPpmyQ" TargetMode="External"/><Relationship Id="rId907" Type="http://schemas.openxmlformats.org/officeDocument/2006/relationships/table" Target="../tables/table5.xml"/><Relationship Id="rId36" Type="http://schemas.openxmlformats.org/officeDocument/2006/relationships/hyperlink" Target="https://youtu.be/KlxdhDSi5Dc" TargetMode="External"/><Relationship Id="rId339" Type="http://schemas.openxmlformats.org/officeDocument/2006/relationships/hyperlink" Target="https://youtu.be/ELgSmlwFsFQ" TargetMode="External"/><Relationship Id="rId546" Type="http://schemas.openxmlformats.org/officeDocument/2006/relationships/hyperlink" Target="https://youtu.be/DX1WzS7k0Uc" TargetMode="External"/><Relationship Id="rId753" Type="http://schemas.openxmlformats.org/officeDocument/2006/relationships/hyperlink" Target="https://youtu.be/WMkCGNwo5ts" TargetMode="External"/><Relationship Id="rId101" Type="http://schemas.openxmlformats.org/officeDocument/2006/relationships/hyperlink" Target="https://youtu.be/qmyToaabqdQ" TargetMode="External"/><Relationship Id="rId185" Type="http://schemas.openxmlformats.org/officeDocument/2006/relationships/hyperlink" Target="https://youtu.be/G0_M9LBCT0o" TargetMode="External"/><Relationship Id="rId406" Type="http://schemas.openxmlformats.org/officeDocument/2006/relationships/hyperlink" Target="https://youtu.be/KlxdhDSi5Dc" TargetMode="External"/><Relationship Id="rId392" Type="http://schemas.openxmlformats.org/officeDocument/2006/relationships/hyperlink" Target="https://youtu.be/2KDc6iAcrAw" TargetMode="External"/><Relationship Id="rId613" Type="http://schemas.openxmlformats.org/officeDocument/2006/relationships/hyperlink" Target="https://youtu.be/Cmcv44jiQd0" TargetMode="External"/><Relationship Id="rId697" Type="http://schemas.openxmlformats.org/officeDocument/2006/relationships/hyperlink" Target="https://youtu.be/WkI6IHmYORY" TargetMode="External"/><Relationship Id="rId820" Type="http://schemas.openxmlformats.org/officeDocument/2006/relationships/hyperlink" Target="https://youtu.be/dhSKkQdUzoA" TargetMode="External"/><Relationship Id="rId252" Type="http://schemas.openxmlformats.org/officeDocument/2006/relationships/hyperlink" Target="https://youtu.be/nc6pAci8Tpg" TargetMode="External"/><Relationship Id="rId47" Type="http://schemas.openxmlformats.org/officeDocument/2006/relationships/hyperlink" Target="https://youtu.be/wSHxfQJe1ic" TargetMode="External"/><Relationship Id="rId112" Type="http://schemas.openxmlformats.org/officeDocument/2006/relationships/hyperlink" Target="https://youtu.be/aHS9tKzJXik" TargetMode="External"/><Relationship Id="rId557" Type="http://schemas.openxmlformats.org/officeDocument/2006/relationships/hyperlink" Target="https://youtu.be/Ma99aw-VDJQ" TargetMode="External"/><Relationship Id="rId764" Type="http://schemas.openxmlformats.org/officeDocument/2006/relationships/hyperlink" Target="https://youtu.be/0EqU6-o3PAw" TargetMode="External"/><Relationship Id="rId196" Type="http://schemas.openxmlformats.org/officeDocument/2006/relationships/hyperlink" Target="https://youtu.be/UGwmUJkTIx8" TargetMode="External"/><Relationship Id="rId417" Type="http://schemas.openxmlformats.org/officeDocument/2006/relationships/hyperlink" Target="https://youtu.be/wSHxfQJe1ic" TargetMode="External"/><Relationship Id="rId624" Type="http://schemas.openxmlformats.org/officeDocument/2006/relationships/hyperlink" Target="https://youtu.be/MXGZHJFQ9bE" TargetMode="External"/><Relationship Id="rId831" Type="http://schemas.openxmlformats.org/officeDocument/2006/relationships/hyperlink" Target="https://youtu.be/3DnqKKfz6wY" TargetMode="External"/><Relationship Id="rId263" Type="http://schemas.openxmlformats.org/officeDocument/2006/relationships/hyperlink" Target="https://youtu.be/CaryZp20CuI" TargetMode="External"/><Relationship Id="rId470" Type="http://schemas.openxmlformats.org/officeDocument/2006/relationships/hyperlink" Target="https://youtu.be/cJ8JrXUQ3xQ" TargetMode="External"/><Relationship Id="rId58" Type="http://schemas.openxmlformats.org/officeDocument/2006/relationships/hyperlink" Target="https://youtu.be/J0l0qQCy80Q" TargetMode="External"/><Relationship Id="rId123" Type="http://schemas.openxmlformats.org/officeDocument/2006/relationships/hyperlink" Target="https://youtu.be/WMkCGNwo5ts" TargetMode="External"/><Relationship Id="rId330" Type="http://schemas.openxmlformats.org/officeDocument/2006/relationships/hyperlink" Target="https://youtu.be/LvJM9V3D_CQ" TargetMode="External"/><Relationship Id="rId568" Type="http://schemas.openxmlformats.org/officeDocument/2006/relationships/hyperlink" Target="https://youtu.be/-mcxziH_KdM" TargetMode="External"/><Relationship Id="rId775" Type="http://schemas.openxmlformats.org/officeDocument/2006/relationships/hyperlink" Target="https://youtu.be/Q_n8cSQLhog" TargetMode="External"/><Relationship Id="rId428" Type="http://schemas.openxmlformats.org/officeDocument/2006/relationships/hyperlink" Target="https://youtu.be/J0l0qQCy80Q" TargetMode="External"/><Relationship Id="rId635" Type="http://schemas.openxmlformats.org/officeDocument/2006/relationships/hyperlink" Target="https://youtu.be/ELgSmlwFsFQ" TargetMode="External"/><Relationship Id="rId842" Type="http://schemas.openxmlformats.org/officeDocument/2006/relationships/hyperlink" Target="https://youtu.be/DX1WzS7k0Uc" TargetMode="External"/><Relationship Id="rId274" Type="http://schemas.openxmlformats.org/officeDocument/2006/relationships/hyperlink" Target="https://youtu.be/_w_Uan2dG-4" TargetMode="External"/><Relationship Id="rId481" Type="http://schemas.openxmlformats.org/officeDocument/2006/relationships/hyperlink" Target="https://youtu.be/G0_M9LBCT0o" TargetMode="External"/><Relationship Id="rId702" Type="http://schemas.openxmlformats.org/officeDocument/2006/relationships/hyperlink" Target="https://youtu.be/KlxdhDSi5Dc" TargetMode="External"/><Relationship Id="rId69" Type="http://schemas.openxmlformats.org/officeDocument/2006/relationships/hyperlink" Target="https://youtu.be/UvxrIuG-Xeg" TargetMode="External"/><Relationship Id="rId134" Type="http://schemas.openxmlformats.org/officeDocument/2006/relationships/hyperlink" Target="https://youtu.be/sInGFVj-bJA" TargetMode="External"/><Relationship Id="rId579" Type="http://schemas.openxmlformats.org/officeDocument/2006/relationships/hyperlink" Target="https://youtu.be/FGJ64JyKod0" TargetMode="External"/><Relationship Id="rId786" Type="http://schemas.openxmlformats.org/officeDocument/2006/relationships/hyperlink" Target="https://youtu.be/ksBaBSfmZf4" TargetMode="External"/><Relationship Id="rId341" Type="http://schemas.openxmlformats.org/officeDocument/2006/relationships/hyperlink" Target="https://youtu.be/1Rr1-FW6ZJs" TargetMode="External"/><Relationship Id="rId439" Type="http://schemas.openxmlformats.org/officeDocument/2006/relationships/hyperlink" Target="https://youtu.be/UvxrIuG-Xeg" TargetMode="External"/><Relationship Id="rId646" Type="http://schemas.openxmlformats.org/officeDocument/2006/relationships/hyperlink" Target="https://youtu.be/vneVQlN7LR4" TargetMode="External"/><Relationship Id="rId201" Type="http://schemas.openxmlformats.org/officeDocument/2006/relationships/hyperlink" Target="https://youtu.be/Nf1_Ok0LDcI" TargetMode="External"/><Relationship Id="rId285" Type="http://schemas.openxmlformats.org/officeDocument/2006/relationships/hyperlink" Target="https://youtu.be/G7bonPtkitM" TargetMode="External"/><Relationship Id="rId506" Type="http://schemas.openxmlformats.org/officeDocument/2006/relationships/hyperlink" Target="https://youtu.be/BRueufxDP2Q" TargetMode="External"/><Relationship Id="rId853" Type="http://schemas.openxmlformats.org/officeDocument/2006/relationships/hyperlink" Target="https://youtu.be/Ma99aw-VDJQ" TargetMode="External"/><Relationship Id="rId492" Type="http://schemas.openxmlformats.org/officeDocument/2006/relationships/hyperlink" Target="https://youtu.be/UGwmUJkTIx8" TargetMode="External"/><Relationship Id="rId713" Type="http://schemas.openxmlformats.org/officeDocument/2006/relationships/hyperlink" Target="https://youtu.be/wSHxfQJe1ic" TargetMode="External"/><Relationship Id="rId797" Type="http://schemas.openxmlformats.org/officeDocument/2006/relationships/hyperlink" Target="https://youtu.be/1n6xrEI5g0Q" TargetMode="External"/><Relationship Id="rId145" Type="http://schemas.openxmlformats.org/officeDocument/2006/relationships/hyperlink" Target="https://youtu.be/nc6pAci8Tpg" TargetMode="External"/><Relationship Id="rId352" Type="http://schemas.openxmlformats.org/officeDocument/2006/relationships/hyperlink" Target="https://youtu.be/5KX0EjOTMaI" TargetMode="External"/><Relationship Id="rId212" Type="http://schemas.openxmlformats.org/officeDocument/2006/relationships/hyperlink" Target="https://youtu.be/HJx1sIZKDqk" TargetMode="External"/><Relationship Id="rId657" Type="http://schemas.openxmlformats.org/officeDocument/2006/relationships/hyperlink" Target="https://youtu.be/S9NEwbiYEBE" TargetMode="External"/><Relationship Id="rId864" Type="http://schemas.openxmlformats.org/officeDocument/2006/relationships/hyperlink" Target="https://youtu.be/-mcxziH_KdM" TargetMode="External"/><Relationship Id="rId296" Type="http://schemas.openxmlformats.org/officeDocument/2006/relationships/hyperlink" Target="https://youtu.be/5M8uPbfQsbg" TargetMode="External"/><Relationship Id="rId517" Type="http://schemas.openxmlformats.org/officeDocument/2006/relationships/hyperlink" Target="https://youtu.be/Z8OrSIk_574" TargetMode="External"/><Relationship Id="rId724" Type="http://schemas.openxmlformats.org/officeDocument/2006/relationships/hyperlink" Target="https://youtu.be/J0l0qQCy80Q" TargetMode="External"/><Relationship Id="rId60" Type="http://schemas.openxmlformats.org/officeDocument/2006/relationships/hyperlink" Target="https://youtu.be/sInGFVj-bJA" TargetMode="External"/><Relationship Id="rId156" Type="http://schemas.openxmlformats.org/officeDocument/2006/relationships/hyperlink" Target="https://youtu.be/xxnjF6ljHmg" TargetMode="External"/><Relationship Id="rId363" Type="http://schemas.openxmlformats.org/officeDocument/2006/relationships/hyperlink" Target="https://youtu.be/_KI-O0zMv60" TargetMode="External"/><Relationship Id="rId570" Type="http://schemas.openxmlformats.org/officeDocument/2006/relationships/hyperlink" Target="https://youtu.be/_w_Uan2dG-4" TargetMode="External"/><Relationship Id="rId223" Type="http://schemas.openxmlformats.org/officeDocument/2006/relationships/hyperlink" Target="https://youtu.be/y28L1m1PYUQ" TargetMode="External"/><Relationship Id="rId430" Type="http://schemas.openxmlformats.org/officeDocument/2006/relationships/hyperlink" Target="https://youtu.be/sInGFVj-bJA" TargetMode="External"/><Relationship Id="rId668" Type="http://schemas.openxmlformats.org/officeDocument/2006/relationships/hyperlink" Target="https://youtu.be/oWJBLChYZOQ" TargetMode="External"/><Relationship Id="rId875" Type="http://schemas.openxmlformats.org/officeDocument/2006/relationships/hyperlink" Target="https://youtu.be/FGJ64JyKod0" TargetMode="External"/><Relationship Id="rId18" Type="http://schemas.openxmlformats.org/officeDocument/2006/relationships/hyperlink" Target="https://youtu.be/01pnZt1uVFI" TargetMode="External"/><Relationship Id="rId528" Type="http://schemas.openxmlformats.org/officeDocument/2006/relationships/hyperlink" Target="https://youtu.be/oB27u_w3pX4" TargetMode="External"/><Relationship Id="rId735" Type="http://schemas.openxmlformats.org/officeDocument/2006/relationships/hyperlink" Target="https://youtu.be/UvxrIuG-Xeg" TargetMode="External"/><Relationship Id="rId167" Type="http://schemas.openxmlformats.org/officeDocument/2006/relationships/hyperlink" Target="https://youtu.be/-FAxUZoPDc4" TargetMode="External"/><Relationship Id="rId374" Type="http://schemas.openxmlformats.org/officeDocument/2006/relationships/hyperlink" Target="https://youtu.be/ad0NL7TH2-I" TargetMode="External"/><Relationship Id="rId581" Type="http://schemas.openxmlformats.org/officeDocument/2006/relationships/hyperlink" Target="https://youtu.be/G7bonPtkitM" TargetMode="External"/><Relationship Id="rId71" Type="http://schemas.openxmlformats.org/officeDocument/2006/relationships/hyperlink" Target="https://youtu.be/nc6pAci8Tpg" TargetMode="External"/><Relationship Id="rId234" Type="http://schemas.openxmlformats.org/officeDocument/2006/relationships/hyperlink" Target="https://youtu.be/01pnZt1uVFI" TargetMode="External"/><Relationship Id="rId679" Type="http://schemas.openxmlformats.org/officeDocument/2006/relationships/hyperlink" Target="https://youtu.be/WMkCGNwo5ts" TargetMode="External"/><Relationship Id="rId802" Type="http://schemas.openxmlformats.org/officeDocument/2006/relationships/hyperlink" Target="https://youtu.be/BRueufxDP2Q" TargetMode="External"/><Relationship Id="rId886" Type="http://schemas.openxmlformats.org/officeDocument/2006/relationships/hyperlink" Target="https://youtu.be/DX1WzS7k0Uc" TargetMode="External"/><Relationship Id="rId2" Type="http://schemas.openxmlformats.org/officeDocument/2006/relationships/hyperlink" Target="https://youtu.be/oWJBLChYZOQ" TargetMode="External"/><Relationship Id="rId29" Type="http://schemas.openxmlformats.org/officeDocument/2006/relationships/hyperlink" Target="https://youtu.be/Z8OrSIk_574" TargetMode="External"/><Relationship Id="rId441" Type="http://schemas.openxmlformats.org/officeDocument/2006/relationships/hyperlink" Target="https://youtu.be/nc6pAci8Tpg" TargetMode="External"/><Relationship Id="rId539" Type="http://schemas.openxmlformats.org/officeDocument/2006/relationships/hyperlink" Target="https://youtu.be/Cmcv44jiQd0" TargetMode="External"/><Relationship Id="rId746" Type="http://schemas.openxmlformats.org/officeDocument/2006/relationships/hyperlink" Target="https://youtu.be/dhSKkQdUzoA" TargetMode="External"/><Relationship Id="rId178" Type="http://schemas.openxmlformats.org/officeDocument/2006/relationships/hyperlink" Target="https://youtu.be/nc6pAci8Tpg" TargetMode="External"/><Relationship Id="rId301" Type="http://schemas.openxmlformats.org/officeDocument/2006/relationships/hyperlink" Target="https://youtu.be/q3agRhqt_WA" TargetMode="External"/><Relationship Id="rId82" Type="http://schemas.openxmlformats.org/officeDocument/2006/relationships/hyperlink" Target="https://youtu.be/xxnjF6ljHmg" TargetMode="External"/><Relationship Id="rId385" Type="http://schemas.openxmlformats.org/officeDocument/2006/relationships/hyperlink" Target="https://youtu.be/LC9SO-pIXqA" TargetMode="External"/><Relationship Id="rId592" Type="http://schemas.openxmlformats.org/officeDocument/2006/relationships/hyperlink" Target="https://youtu.be/5M8uPbfQsbg" TargetMode="External"/><Relationship Id="rId606" Type="http://schemas.openxmlformats.org/officeDocument/2006/relationships/hyperlink" Target="https://youtu.be/-mcxziH_KdM" TargetMode="External"/><Relationship Id="rId813" Type="http://schemas.openxmlformats.org/officeDocument/2006/relationships/hyperlink" Target="https://youtu.be/Z8OrSIk_574" TargetMode="External"/><Relationship Id="rId245" Type="http://schemas.openxmlformats.org/officeDocument/2006/relationships/hyperlink" Target="https://youtu.be/CQDTdasj9BA" TargetMode="External"/><Relationship Id="rId452" Type="http://schemas.openxmlformats.org/officeDocument/2006/relationships/hyperlink" Target="https://youtu.be/xxnjF6ljHmg" TargetMode="External"/><Relationship Id="rId897" Type="http://schemas.openxmlformats.org/officeDocument/2006/relationships/hyperlink" Target="https://youtu.be/v3N4tpPpmyQ" TargetMode="External"/><Relationship Id="rId105" Type="http://schemas.openxmlformats.org/officeDocument/2006/relationships/hyperlink" Target="https://youtu.be/WkI6IHmYORY" TargetMode="External"/><Relationship Id="rId312" Type="http://schemas.openxmlformats.org/officeDocument/2006/relationships/hyperlink" Target="https://youtu.be/7l859qd4E48" TargetMode="External"/><Relationship Id="rId757" Type="http://schemas.openxmlformats.org/officeDocument/2006/relationships/hyperlink" Target="https://youtu.be/3DnqKKfz6wY" TargetMode="External"/><Relationship Id="rId93" Type="http://schemas.openxmlformats.org/officeDocument/2006/relationships/hyperlink" Target="https://youtu.be/-FAxUZoPDc4" TargetMode="External"/><Relationship Id="rId189" Type="http://schemas.openxmlformats.org/officeDocument/2006/relationships/hyperlink" Target="https://youtu.be/CaryZp20CuI" TargetMode="External"/><Relationship Id="rId396" Type="http://schemas.openxmlformats.org/officeDocument/2006/relationships/hyperlink" Target="https://youtu.be/cJ8JrXUQ3xQ" TargetMode="External"/><Relationship Id="rId617" Type="http://schemas.openxmlformats.org/officeDocument/2006/relationships/hyperlink" Target="https://youtu.be/qTSTOVVr8rU" TargetMode="External"/><Relationship Id="rId824" Type="http://schemas.openxmlformats.org/officeDocument/2006/relationships/hyperlink" Target="https://youtu.be/oB27u_w3pX4" TargetMode="External"/><Relationship Id="rId256" Type="http://schemas.openxmlformats.org/officeDocument/2006/relationships/hyperlink" Target="https://youtu.be/LvJM9V3D_CQ" TargetMode="External"/><Relationship Id="rId463" Type="http://schemas.openxmlformats.org/officeDocument/2006/relationships/hyperlink" Target="https://youtu.be/-FAxUZoPDc4" TargetMode="External"/><Relationship Id="rId670" Type="http://schemas.openxmlformats.org/officeDocument/2006/relationships/hyperlink" Target="https://youtu.be/ad0NL7TH2-I" TargetMode="External"/><Relationship Id="rId116" Type="http://schemas.openxmlformats.org/officeDocument/2006/relationships/hyperlink" Target="https://youtu.be/FCe6PIQbB-s" TargetMode="External"/><Relationship Id="rId323" Type="http://schemas.openxmlformats.org/officeDocument/2006/relationships/hyperlink" Target="https://youtu.be/qmyToaabqdQ" TargetMode="External"/><Relationship Id="rId530" Type="http://schemas.openxmlformats.org/officeDocument/2006/relationships/hyperlink" Target="https://youtu.be/01pnZt1uVFI" TargetMode="External"/><Relationship Id="rId768" Type="http://schemas.openxmlformats.org/officeDocument/2006/relationships/hyperlink" Target="https://youtu.be/DX1WzS7k0Uc" TargetMode="External"/><Relationship Id="rId20" Type="http://schemas.openxmlformats.org/officeDocument/2006/relationships/hyperlink" Target="https://youtu.be/QZ7VZpjNTG8" TargetMode="External"/><Relationship Id="rId628" Type="http://schemas.openxmlformats.org/officeDocument/2006/relationships/hyperlink" Target="https://youtu.be/KlxdhDSi5Dc" TargetMode="External"/><Relationship Id="rId835" Type="http://schemas.openxmlformats.org/officeDocument/2006/relationships/hyperlink" Target="https://youtu.be/Cmcv44jiQd0" TargetMode="External"/><Relationship Id="rId267" Type="http://schemas.openxmlformats.org/officeDocument/2006/relationships/hyperlink" Target="https://youtu.be/1Rr1-FW6ZJs" TargetMode="External"/><Relationship Id="rId474" Type="http://schemas.openxmlformats.org/officeDocument/2006/relationships/hyperlink" Target="https://youtu.be/nc6pAci8Tpg" TargetMode="External"/><Relationship Id="rId127" Type="http://schemas.openxmlformats.org/officeDocument/2006/relationships/hyperlink" Target="https://youtu.be/Nf1_Ok0LDcI" TargetMode="External"/><Relationship Id="rId681" Type="http://schemas.openxmlformats.org/officeDocument/2006/relationships/hyperlink" Target="https://youtu.be/LC9SO-pIXqA" TargetMode="External"/><Relationship Id="rId779" Type="http://schemas.openxmlformats.org/officeDocument/2006/relationships/hyperlink" Target="https://youtu.be/Ma99aw-VDJQ" TargetMode="External"/><Relationship Id="rId902" Type="http://schemas.openxmlformats.org/officeDocument/2006/relationships/vmlDrawing" Target="../drawings/vmlDrawing1.vml"/><Relationship Id="rId31" Type="http://schemas.openxmlformats.org/officeDocument/2006/relationships/hyperlink" Target="https://youtu.be/WkI6IHmYORY" TargetMode="External"/><Relationship Id="rId334" Type="http://schemas.openxmlformats.org/officeDocument/2006/relationships/hyperlink" Target="https://youtu.be/aHS9tKzJXik" TargetMode="External"/><Relationship Id="rId541" Type="http://schemas.openxmlformats.org/officeDocument/2006/relationships/hyperlink" Target="https://youtu.be/CQDTdasj9BA" TargetMode="External"/><Relationship Id="rId639" Type="http://schemas.openxmlformats.org/officeDocument/2006/relationships/hyperlink" Target="https://youtu.be/wSHxfQJe1ic" TargetMode="External"/><Relationship Id="rId180" Type="http://schemas.openxmlformats.org/officeDocument/2006/relationships/hyperlink" Target="https://youtu.be/MXGZHJFQ9bE" TargetMode="External"/><Relationship Id="rId278" Type="http://schemas.openxmlformats.org/officeDocument/2006/relationships/hyperlink" Target="https://youtu.be/5KX0EjOTMaI" TargetMode="External"/><Relationship Id="rId401" Type="http://schemas.openxmlformats.org/officeDocument/2006/relationships/hyperlink" Target="https://youtu.be/WkI6IHmYORY" TargetMode="External"/><Relationship Id="rId846" Type="http://schemas.openxmlformats.org/officeDocument/2006/relationships/hyperlink" Target="https://youtu.be/MXGZHJFQ9bE" TargetMode="External"/><Relationship Id="rId485" Type="http://schemas.openxmlformats.org/officeDocument/2006/relationships/hyperlink" Target="https://youtu.be/CaryZp20CuI" TargetMode="External"/><Relationship Id="rId692" Type="http://schemas.openxmlformats.org/officeDocument/2006/relationships/hyperlink" Target="https://youtu.be/cJ8JrXUQ3xQ" TargetMode="External"/><Relationship Id="rId706" Type="http://schemas.openxmlformats.org/officeDocument/2006/relationships/hyperlink" Target="https://youtu.be/xbnan2iNh-Q" TargetMode="External"/><Relationship Id="rId913" Type="http://schemas.openxmlformats.org/officeDocument/2006/relationships/table" Target="../tables/table11.xml"/><Relationship Id="rId42" Type="http://schemas.openxmlformats.org/officeDocument/2006/relationships/hyperlink" Target="https://youtu.be/FCe6PIQbB-s" TargetMode="External"/><Relationship Id="rId138" Type="http://schemas.openxmlformats.org/officeDocument/2006/relationships/hyperlink" Target="https://youtu.be/HJx1sIZKDqk" TargetMode="External"/><Relationship Id="rId345" Type="http://schemas.openxmlformats.org/officeDocument/2006/relationships/hyperlink" Target="https://youtu.be/WMkCGNwo5ts" TargetMode="External"/><Relationship Id="rId552" Type="http://schemas.openxmlformats.org/officeDocument/2006/relationships/hyperlink" Target="https://youtu.be/LvJM9V3D_CQ" TargetMode="External"/><Relationship Id="rId191" Type="http://schemas.openxmlformats.org/officeDocument/2006/relationships/hyperlink" Target="https://youtu.be/ELgSmlwFsFQ" TargetMode="External"/><Relationship Id="rId205" Type="http://schemas.openxmlformats.org/officeDocument/2006/relationships/hyperlink" Target="https://youtu.be/1n6xrEI5g0Q" TargetMode="External"/><Relationship Id="rId412" Type="http://schemas.openxmlformats.org/officeDocument/2006/relationships/hyperlink" Target="https://youtu.be/FCe6PIQbB-s" TargetMode="External"/><Relationship Id="rId857" Type="http://schemas.openxmlformats.org/officeDocument/2006/relationships/hyperlink" Target="https://youtu.be/ELgSmlwFsFQ" TargetMode="External"/><Relationship Id="rId289" Type="http://schemas.openxmlformats.org/officeDocument/2006/relationships/hyperlink" Target="https://youtu.be/_KI-O0zMv60" TargetMode="External"/><Relationship Id="rId496" Type="http://schemas.openxmlformats.org/officeDocument/2006/relationships/hyperlink" Target="https://youtu.be/_w_Uan2dG-4" TargetMode="External"/><Relationship Id="rId717" Type="http://schemas.openxmlformats.org/officeDocument/2006/relationships/hyperlink" Target="https://youtu.be/LC9SO-pIXqA" TargetMode="External"/><Relationship Id="rId53" Type="http://schemas.openxmlformats.org/officeDocument/2006/relationships/hyperlink" Target="https://youtu.be/Nf1_Ok0LDcI" TargetMode="External"/><Relationship Id="rId149" Type="http://schemas.openxmlformats.org/officeDocument/2006/relationships/hyperlink" Target="https://youtu.be/y28L1m1PYUQ" TargetMode="External"/><Relationship Id="rId356" Type="http://schemas.openxmlformats.org/officeDocument/2006/relationships/hyperlink" Target="https://youtu.be/sInGFVj-bJA" TargetMode="External"/><Relationship Id="rId563" Type="http://schemas.openxmlformats.org/officeDocument/2006/relationships/hyperlink" Target="https://youtu.be/1Rr1-FW6ZJs" TargetMode="External"/><Relationship Id="rId770" Type="http://schemas.openxmlformats.org/officeDocument/2006/relationships/hyperlink" Target="https://youtu.be/nc6pAci8Tpg" TargetMode="External"/><Relationship Id="rId216" Type="http://schemas.openxmlformats.org/officeDocument/2006/relationships/hyperlink" Target="https://youtu.be/kSxgX6HIYxQ" TargetMode="External"/><Relationship Id="rId423" Type="http://schemas.openxmlformats.org/officeDocument/2006/relationships/hyperlink" Target="https://youtu.be/Nf1_Ok0LDcI" TargetMode="External"/><Relationship Id="rId868" Type="http://schemas.openxmlformats.org/officeDocument/2006/relationships/hyperlink" Target="https://youtu.be/vneVQlN7LR4" TargetMode="External"/><Relationship Id="rId630" Type="http://schemas.openxmlformats.org/officeDocument/2006/relationships/hyperlink" Target="https://youtu.be/aHS9tKzJXik" TargetMode="External"/><Relationship Id="rId728" Type="http://schemas.openxmlformats.org/officeDocument/2006/relationships/hyperlink" Target="https://youtu.be/BRueufxDP2Q" TargetMode="External"/><Relationship Id="rId64" Type="http://schemas.openxmlformats.org/officeDocument/2006/relationships/hyperlink" Target="https://youtu.be/HJx1sIZKDqk" TargetMode="External"/><Relationship Id="rId367" Type="http://schemas.openxmlformats.org/officeDocument/2006/relationships/hyperlink" Target="https://youtu.be/nc6pAci8Tpg" TargetMode="External"/><Relationship Id="rId574" Type="http://schemas.openxmlformats.org/officeDocument/2006/relationships/hyperlink" Target="https://youtu.be/5KX0EjOTMaI" TargetMode="External"/><Relationship Id="rId227" Type="http://schemas.openxmlformats.org/officeDocument/2006/relationships/hyperlink" Target="https://youtu.be/q3agRhqt_WA" TargetMode="External"/><Relationship Id="rId781" Type="http://schemas.openxmlformats.org/officeDocument/2006/relationships/hyperlink" Target="https://youtu.be/CaryZp20CuI" TargetMode="External"/><Relationship Id="rId879" Type="http://schemas.openxmlformats.org/officeDocument/2006/relationships/hyperlink" Target="https://youtu.be/S9NEwbiYEBE" TargetMode="External"/><Relationship Id="rId434" Type="http://schemas.openxmlformats.org/officeDocument/2006/relationships/hyperlink" Target="https://youtu.be/HJx1sIZKDqk" TargetMode="External"/><Relationship Id="rId641" Type="http://schemas.openxmlformats.org/officeDocument/2006/relationships/hyperlink" Target="https://youtu.be/WMkCGNwo5ts" TargetMode="External"/><Relationship Id="rId739" Type="http://schemas.openxmlformats.org/officeDocument/2006/relationships/hyperlink" Target="https://youtu.be/Z8OrSIk_574" TargetMode="External"/><Relationship Id="rId280" Type="http://schemas.openxmlformats.org/officeDocument/2006/relationships/hyperlink" Target="https://youtu.be/J0l0qQCy80Q" TargetMode="External"/><Relationship Id="rId501" Type="http://schemas.openxmlformats.org/officeDocument/2006/relationships/hyperlink" Target="https://youtu.be/1n6xrEI5g0Q" TargetMode="External"/><Relationship Id="rId75" Type="http://schemas.openxmlformats.org/officeDocument/2006/relationships/hyperlink" Target="https://youtu.be/y28L1m1PYUQ" TargetMode="External"/><Relationship Id="rId140" Type="http://schemas.openxmlformats.org/officeDocument/2006/relationships/hyperlink" Target="https://youtu.be/uCAoI5FnLhs" TargetMode="External"/><Relationship Id="rId378" Type="http://schemas.openxmlformats.org/officeDocument/2006/relationships/hyperlink" Target="https://youtu.be/xxnjF6ljHmg" TargetMode="External"/><Relationship Id="rId585" Type="http://schemas.openxmlformats.org/officeDocument/2006/relationships/hyperlink" Target="https://youtu.be/_KI-O0zMv60" TargetMode="External"/><Relationship Id="rId792" Type="http://schemas.openxmlformats.org/officeDocument/2006/relationships/hyperlink" Target="https://youtu.be/_w_Uan2dG-4" TargetMode="External"/><Relationship Id="rId806" Type="http://schemas.openxmlformats.org/officeDocument/2006/relationships/hyperlink" Target="https://youtu.be/uCAoI5FnLhs" TargetMode="External"/><Relationship Id="rId6" Type="http://schemas.openxmlformats.org/officeDocument/2006/relationships/hyperlink" Target="https://youtu.be/dhSKkQdUzoA" TargetMode="External"/><Relationship Id="rId238" Type="http://schemas.openxmlformats.org/officeDocument/2006/relationships/hyperlink" Target="https://youtu.be/7l859qd4E48" TargetMode="External"/><Relationship Id="rId445" Type="http://schemas.openxmlformats.org/officeDocument/2006/relationships/hyperlink" Target="https://youtu.be/y28L1m1PYUQ" TargetMode="External"/><Relationship Id="rId652" Type="http://schemas.openxmlformats.org/officeDocument/2006/relationships/hyperlink" Target="https://youtu.be/sInGFVj-bJA" TargetMode="External"/><Relationship Id="rId291" Type="http://schemas.openxmlformats.org/officeDocument/2006/relationships/hyperlink" Target="https://youtu.be/UvxrIuG-Xeg" TargetMode="External"/><Relationship Id="rId305" Type="http://schemas.openxmlformats.org/officeDocument/2006/relationships/hyperlink" Target="https://youtu.be/nc6pAci8Tpg" TargetMode="External"/><Relationship Id="rId512" Type="http://schemas.openxmlformats.org/officeDocument/2006/relationships/hyperlink" Target="https://youtu.be/kSxgX6HIYxQ" TargetMode="External"/><Relationship Id="rId86" Type="http://schemas.openxmlformats.org/officeDocument/2006/relationships/hyperlink" Target="https://youtu.be/01pnZt1uVFI" TargetMode="External"/><Relationship Id="rId151" Type="http://schemas.openxmlformats.org/officeDocument/2006/relationships/hyperlink" Target="https://youtu.be/UbNb5Tsl46c" TargetMode="External"/><Relationship Id="rId389" Type="http://schemas.openxmlformats.org/officeDocument/2006/relationships/hyperlink" Target="https://youtu.be/-FAxUZoPDc4" TargetMode="External"/><Relationship Id="rId596" Type="http://schemas.openxmlformats.org/officeDocument/2006/relationships/hyperlink" Target="https://youtu.be/ad0NL7TH2-I" TargetMode="External"/><Relationship Id="rId817" Type="http://schemas.openxmlformats.org/officeDocument/2006/relationships/hyperlink" Target="https://youtu.be/UbNb5Tsl46c" TargetMode="External"/><Relationship Id="rId249" Type="http://schemas.openxmlformats.org/officeDocument/2006/relationships/hyperlink" Target="https://youtu.be/qmyToaabqdQ" TargetMode="External"/><Relationship Id="rId456" Type="http://schemas.openxmlformats.org/officeDocument/2006/relationships/hyperlink" Target="https://youtu.be/01pnZt1uVFI" TargetMode="External"/><Relationship Id="rId663" Type="http://schemas.openxmlformats.org/officeDocument/2006/relationships/hyperlink" Target="https://youtu.be/nc6pAci8Tpg" TargetMode="External"/><Relationship Id="rId870" Type="http://schemas.openxmlformats.org/officeDocument/2006/relationships/hyperlink" Target="https://youtu.be/5KX0EjOTMaI" TargetMode="External"/><Relationship Id="rId13" Type="http://schemas.openxmlformats.org/officeDocument/2006/relationships/hyperlink" Target="https://youtu.be/WMkCGNwo5ts" TargetMode="External"/><Relationship Id="rId109" Type="http://schemas.openxmlformats.org/officeDocument/2006/relationships/hyperlink" Target="https://youtu.be/Q_n8cSQLhog" TargetMode="External"/><Relationship Id="rId316" Type="http://schemas.openxmlformats.org/officeDocument/2006/relationships/hyperlink" Target="https://youtu.be/QZ7VZpjNTG8" TargetMode="External"/><Relationship Id="rId523" Type="http://schemas.openxmlformats.org/officeDocument/2006/relationships/hyperlink" Target="https://youtu.be/q3agRhqt_WA" TargetMode="External"/><Relationship Id="rId97" Type="http://schemas.openxmlformats.org/officeDocument/2006/relationships/hyperlink" Target="https://youtu.be/CQDTdasj9BA" TargetMode="External"/><Relationship Id="rId730" Type="http://schemas.openxmlformats.org/officeDocument/2006/relationships/hyperlink" Target="https://youtu.be/HJx1sIZKDqk" TargetMode="External"/><Relationship Id="rId828" Type="http://schemas.openxmlformats.org/officeDocument/2006/relationships/hyperlink" Target="https://youtu.be/-mcxziH_KdM" TargetMode="External"/><Relationship Id="rId162" Type="http://schemas.openxmlformats.org/officeDocument/2006/relationships/hyperlink" Target="https://youtu.be/-mcxziH_KdM" TargetMode="External"/><Relationship Id="rId467" Type="http://schemas.openxmlformats.org/officeDocument/2006/relationships/hyperlink" Target="https://youtu.be/CQDTdasj9BA" TargetMode="External"/><Relationship Id="rId674" Type="http://schemas.openxmlformats.org/officeDocument/2006/relationships/hyperlink" Target="https://youtu.be/xxnjF6ljHmg" TargetMode="External"/><Relationship Id="rId881" Type="http://schemas.openxmlformats.org/officeDocument/2006/relationships/hyperlink" Target="https://youtu.be/_KI-O0zMv60" TargetMode="External"/><Relationship Id="rId24" Type="http://schemas.openxmlformats.org/officeDocument/2006/relationships/hyperlink" Target="https://youtu.be/0EqU6-o3PAw" TargetMode="External"/><Relationship Id="rId327" Type="http://schemas.openxmlformats.org/officeDocument/2006/relationships/hyperlink" Target="https://youtu.be/WkI6IHmYORY" TargetMode="External"/><Relationship Id="rId534" Type="http://schemas.openxmlformats.org/officeDocument/2006/relationships/hyperlink" Target="https://youtu.be/7l859qd4E48" TargetMode="External"/><Relationship Id="rId741" Type="http://schemas.openxmlformats.org/officeDocument/2006/relationships/hyperlink" Target="https://youtu.be/y28L1m1PYUQ" TargetMode="External"/><Relationship Id="rId839" Type="http://schemas.openxmlformats.org/officeDocument/2006/relationships/hyperlink" Target="https://youtu.be/qTSTOVVr8rU" TargetMode="External"/><Relationship Id="rId173" Type="http://schemas.openxmlformats.org/officeDocument/2006/relationships/hyperlink" Target="https://youtu.be/qTSTOVVr8rU" TargetMode="External"/><Relationship Id="rId380" Type="http://schemas.openxmlformats.org/officeDocument/2006/relationships/hyperlink" Target="https://youtu.be/oB27u_w3pX4" TargetMode="External"/><Relationship Id="rId601" Type="http://schemas.openxmlformats.org/officeDocument/2006/relationships/hyperlink" Target="https://youtu.be/nc6pAci8Tpg" TargetMode="External"/><Relationship Id="rId240" Type="http://schemas.openxmlformats.org/officeDocument/2006/relationships/hyperlink" Target="https://youtu.be/01pnZt1uVFI" TargetMode="External"/><Relationship Id="rId478" Type="http://schemas.openxmlformats.org/officeDocument/2006/relationships/hyperlink" Target="https://youtu.be/LvJM9V3D_CQ" TargetMode="External"/><Relationship Id="rId685" Type="http://schemas.openxmlformats.org/officeDocument/2006/relationships/hyperlink" Target="https://youtu.be/-FAxUZoPDc4" TargetMode="External"/><Relationship Id="rId892" Type="http://schemas.openxmlformats.org/officeDocument/2006/relationships/hyperlink" Target="https://youtu.be/v3N4tpPpmyQ" TargetMode="External"/><Relationship Id="rId906" Type="http://schemas.openxmlformats.org/officeDocument/2006/relationships/table" Target="../tables/table4.xml"/><Relationship Id="rId35" Type="http://schemas.openxmlformats.org/officeDocument/2006/relationships/hyperlink" Target="https://youtu.be/Q_n8cSQLhog" TargetMode="External"/><Relationship Id="rId100" Type="http://schemas.openxmlformats.org/officeDocument/2006/relationships/hyperlink" Target="https://youtu.be/cJ8JrXUQ3xQ" TargetMode="External"/><Relationship Id="rId338" Type="http://schemas.openxmlformats.org/officeDocument/2006/relationships/hyperlink" Target="https://youtu.be/FCe6PIQbB-s" TargetMode="External"/><Relationship Id="rId545" Type="http://schemas.openxmlformats.org/officeDocument/2006/relationships/hyperlink" Target="https://youtu.be/qmyToaabqdQ" TargetMode="External"/><Relationship Id="rId752" Type="http://schemas.openxmlformats.org/officeDocument/2006/relationships/hyperlink" Target="https://youtu.be/01pnZt1uVFI" TargetMode="External"/><Relationship Id="rId184" Type="http://schemas.openxmlformats.org/officeDocument/2006/relationships/hyperlink" Target="https://youtu.be/KlxdhDSi5Dc" TargetMode="External"/><Relationship Id="rId391" Type="http://schemas.openxmlformats.org/officeDocument/2006/relationships/hyperlink" Target="https://youtu.be/Cmcv44jiQd0" TargetMode="External"/><Relationship Id="rId405" Type="http://schemas.openxmlformats.org/officeDocument/2006/relationships/hyperlink" Target="https://youtu.be/Q_n8cSQLhog" TargetMode="External"/><Relationship Id="rId612" Type="http://schemas.openxmlformats.org/officeDocument/2006/relationships/hyperlink" Target="https://youtu.be/QZ7VZpjNTG8" TargetMode="External"/><Relationship Id="rId251" Type="http://schemas.openxmlformats.org/officeDocument/2006/relationships/hyperlink" Target="https://youtu.be/Z8OrSIk_574" TargetMode="External"/><Relationship Id="rId489" Type="http://schemas.openxmlformats.org/officeDocument/2006/relationships/hyperlink" Target="https://youtu.be/1Rr1-FW6ZJs" TargetMode="External"/><Relationship Id="rId696" Type="http://schemas.openxmlformats.org/officeDocument/2006/relationships/hyperlink" Target="https://youtu.be/nc6pAci8Tpg" TargetMode="External"/><Relationship Id="rId46" Type="http://schemas.openxmlformats.org/officeDocument/2006/relationships/hyperlink" Target="https://youtu.be/ksBaBSfmZf4" TargetMode="External"/><Relationship Id="rId349" Type="http://schemas.openxmlformats.org/officeDocument/2006/relationships/hyperlink" Target="https://youtu.be/Nf1_Ok0LDcI" TargetMode="External"/><Relationship Id="rId556" Type="http://schemas.openxmlformats.org/officeDocument/2006/relationships/hyperlink" Target="https://youtu.be/aHS9tKzJXik" TargetMode="External"/><Relationship Id="rId763" Type="http://schemas.openxmlformats.org/officeDocument/2006/relationships/hyperlink" Target="https://youtu.be/CQDTdasj9BA" TargetMode="External"/><Relationship Id="rId111" Type="http://schemas.openxmlformats.org/officeDocument/2006/relationships/hyperlink" Target="https://youtu.be/G0_M9LBCT0o" TargetMode="External"/><Relationship Id="rId195" Type="http://schemas.openxmlformats.org/officeDocument/2006/relationships/hyperlink" Target="https://youtu.be/wSHxfQJe1ic" TargetMode="External"/><Relationship Id="rId209" Type="http://schemas.openxmlformats.org/officeDocument/2006/relationships/hyperlink" Target="https://youtu.be/FGJ64JyKod0" TargetMode="External"/><Relationship Id="rId416" Type="http://schemas.openxmlformats.org/officeDocument/2006/relationships/hyperlink" Target="https://youtu.be/ksBaBSfmZf4" TargetMode="External"/><Relationship Id="rId623" Type="http://schemas.openxmlformats.org/officeDocument/2006/relationships/hyperlink" Target="https://youtu.be/WkI6IHmYORY" TargetMode="External"/><Relationship Id="rId830" Type="http://schemas.openxmlformats.org/officeDocument/2006/relationships/hyperlink" Target="https://youtu.be/7l859qd4E48" TargetMode="External"/><Relationship Id="rId57" Type="http://schemas.openxmlformats.org/officeDocument/2006/relationships/hyperlink" Target="https://youtu.be/1n6xrEI5g0Q" TargetMode="External"/><Relationship Id="rId262" Type="http://schemas.openxmlformats.org/officeDocument/2006/relationships/hyperlink" Target="https://youtu.be/xbnan2iNh-Q" TargetMode="External"/><Relationship Id="rId567" Type="http://schemas.openxmlformats.org/officeDocument/2006/relationships/hyperlink" Target="https://youtu.be/WMkCGNwo5ts" TargetMode="External"/><Relationship Id="rId122" Type="http://schemas.openxmlformats.org/officeDocument/2006/relationships/hyperlink" Target="https://youtu.be/UGwmUJkTIx8" TargetMode="External"/><Relationship Id="rId774" Type="http://schemas.openxmlformats.org/officeDocument/2006/relationships/hyperlink" Target="https://youtu.be/LvJM9V3D_CQ" TargetMode="External"/><Relationship Id="rId427" Type="http://schemas.openxmlformats.org/officeDocument/2006/relationships/hyperlink" Target="https://youtu.be/1n6xrEI5g0Q" TargetMode="External"/><Relationship Id="rId634" Type="http://schemas.openxmlformats.org/officeDocument/2006/relationships/hyperlink" Target="https://youtu.be/FCe6PIQbB-s" TargetMode="External"/><Relationship Id="rId841" Type="http://schemas.openxmlformats.org/officeDocument/2006/relationships/hyperlink" Target="https://youtu.be/qmyToaabqdQ" TargetMode="External"/><Relationship Id="rId273" Type="http://schemas.openxmlformats.org/officeDocument/2006/relationships/hyperlink" Target="https://youtu.be/LC9SO-pIXqA" TargetMode="External"/><Relationship Id="rId480" Type="http://schemas.openxmlformats.org/officeDocument/2006/relationships/hyperlink" Target="https://youtu.be/KlxdhDSi5Dc" TargetMode="External"/><Relationship Id="rId701" Type="http://schemas.openxmlformats.org/officeDocument/2006/relationships/hyperlink" Target="https://youtu.be/Q_n8cSQLhog" TargetMode="External"/><Relationship Id="rId68" Type="http://schemas.openxmlformats.org/officeDocument/2006/relationships/hyperlink" Target="https://youtu.be/kSxgX6HIYxQ" TargetMode="External"/><Relationship Id="rId133" Type="http://schemas.openxmlformats.org/officeDocument/2006/relationships/hyperlink" Target="https://youtu.be/AS4FeNiHyKg" TargetMode="External"/><Relationship Id="rId340" Type="http://schemas.openxmlformats.org/officeDocument/2006/relationships/hyperlink" Target="https://youtu.be/8RwbLtfLu6A" TargetMode="External"/><Relationship Id="rId578" Type="http://schemas.openxmlformats.org/officeDocument/2006/relationships/hyperlink" Target="https://youtu.be/sInGFVj-bJA" TargetMode="External"/><Relationship Id="rId785" Type="http://schemas.openxmlformats.org/officeDocument/2006/relationships/hyperlink" Target="https://youtu.be/1Rr1-FW6ZJs" TargetMode="External"/><Relationship Id="rId200" Type="http://schemas.openxmlformats.org/officeDocument/2006/relationships/hyperlink" Target="https://youtu.be/_w_Uan2dG-4" TargetMode="External"/><Relationship Id="rId438" Type="http://schemas.openxmlformats.org/officeDocument/2006/relationships/hyperlink" Target="https://youtu.be/kSxgX6HIYxQ" TargetMode="External"/><Relationship Id="rId645" Type="http://schemas.openxmlformats.org/officeDocument/2006/relationships/hyperlink" Target="https://youtu.be/Nf1_Ok0LDcI" TargetMode="External"/><Relationship Id="rId852" Type="http://schemas.openxmlformats.org/officeDocument/2006/relationships/hyperlink" Target="https://youtu.be/aHS9tKzJXik" TargetMode="External"/><Relationship Id="rId284" Type="http://schemas.openxmlformats.org/officeDocument/2006/relationships/hyperlink" Target="https://youtu.be/BRueufxDP2Q" TargetMode="External"/><Relationship Id="rId491" Type="http://schemas.openxmlformats.org/officeDocument/2006/relationships/hyperlink" Target="https://youtu.be/wSHxfQJe1ic" TargetMode="External"/><Relationship Id="rId505" Type="http://schemas.openxmlformats.org/officeDocument/2006/relationships/hyperlink" Target="https://youtu.be/FGJ64JyKod0" TargetMode="External"/><Relationship Id="rId712" Type="http://schemas.openxmlformats.org/officeDocument/2006/relationships/hyperlink" Target="https://youtu.be/ksBaBSfmZf4" TargetMode="External"/><Relationship Id="rId79" Type="http://schemas.openxmlformats.org/officeDocument/2006/relationships/hyperlink" Target="https://youtu.be/q3agRhqt_WA" TargetMode="External"/><Relationship Id="rId144" Type="http://schemas.openxmlformats.org/officeDocument/2006/relationships/hyperlink" Target="https://youtu.be/wXjPZdhUzBQ" TargetMode="External"/><Relationship Id="rId589" Type="http://schemas.openxmlformats.org/officeDocument/2006/relationships/hyperlink" Target="https://youtu.be/nc6pAci8Tpg" TargetMode="External"/><Relationship Id="rId796" Type="http://schemas.openxmlformats.org/officeDocument/2006/relationships/hyperlink" Target="https://youtu.be/5KX0EjOTMaI" TargetMode="External"/><Relationship Id="rId90" Type="http://schemas.openxmlformats.org/officeDocument/2006/relationships/hyperlink" Target="https://youtu.be/7l859qd4E48" TargetMode="External"/><Relationship Id="rId186" Type="http://schemas.openxmlformats.org/officeDocument/2006/relationships/hyperlink" Target="https://youtu.be/aHS9tKzJXik" TargetMode="External"/><Relationship Id="rId351" Type="http://schemas.openxmlformats.org/officeDocument/2006/relationships/hyperlink" Target="https://youtu.be/7GvY7yTEepM" TargetMode="External"/><Relationship Id="rId393" Type="http://schemas.openxmlformats.org/officeDocument/2006/relationships/hyperlink" Target="https://youtu.be/CQDTdasj9BA" TargetMode="External"/><Relationship Id="rId407" Type="http://schemas.openxmlformats.org/officeDocument/2006/relationships/hyperlink" Target="https://youtu.be/G0_M9LBCT0o" TargetMode="External"/><Relationship Id="rId449" Type="http://schemas.openxmlformats.org/officeDocument/2006/relationships/hyperlink" Target="https://youtu.be/q3agRhqt_WA" TargetMode="External"/><Relationship Id="rId614" Type="http://schemas.openxmlformats.org/officeDocument/2006/relationships/hyperlink" Target="https://youtu.be/2KDc6iAcrAw" TargetMode="External"/><Relationship Id="rId656" Type="http://schemas.openxmlformats.org/officeDocument/2006/relationships/hyperlink" Target="https://youtu.be/HJx1sIZKDqk" TargetMode="External"/><Relationship Id="rId821" Type="http://schemas.openxmlformats.org/officeDocument/2006/relationships/hyperlink" Target="https://youtu.be/xaOQJjzNrd8" TargetMode="External"/><Relationship Id="rId863" Type="http://schemas.openxmlformats.org/officeDocument/2006/relationships/hyperlink" Target="https://youtu.be/WMkCGNwo5ts" TargetMode="External"/><Relationship Id="rId211" Type="http://schemas.openxmlformats.org/officeDocument/2006/relationships/hyperlink" Target="https://youtu.be/G7bonPtkitM" TargetMode="External"/><Relationship Id="rId253" Type="http://schemas.openxmlformats.org/officeDocument/2006/relationships/hyperlink" Target="https://youtu.be/WkI6IHmYORY" TargetMode="External"/><Relationship Id="rId295" Type="http://schemas.openxmlformats.org/officeDocument/2006/relationships/hyperlink" Target="https://youtu.be/Z8OrSIk_574" TargetMode="External"/><Relationship Id="rId309" Type="http://schemas.openxmlformats.org/officeDocument/2006/relationships/hyperlink" Target="https://youtu.be/WMkCGNwo5ts" TargetMode="External"/><Relationship Id="rId460" Type="http://schemas.openxmlformats.org/officeDocument/2006/relationships/hyperlink" Target="https://youtu.be/7l859qd4E48" TargetMode="External"/><Relationship Id="rId516" Type="http://schemas.openxmlformats.org/officeDocument/2006/relationships/hyperlink" Target="https://youtu.be/DX1WzS7k0Uc" TargetMode="External"/><Relationship Id="rId698" Type="http://schemas.openxmlformats.org/officeDocument/2006/relationships/hyperlink" Target="https://youtu.be/MXGZHJFQ9bE" TargetMode="External"/><Relationship Id="rId48" Type="http://schemas.openxmlformats.org/officeDocument/2006/relationships/hyperlink" Target="https://youtu.be/UGwmUJkTIx8" TargetMode="External"/><Relationship Id="rId113" Type="http://schemas.openxmlformats.org/officeDocument/2006/relationships/hyperlink" Target="https://youtu.be/Ma99aw-VDJQ" TargetMode="External"/><Relationship Id="rId320" Type="http://schemas.openxmlformats.org/officeDocument/2006/relationships/hyperlink" Target="https://youtu.be/0EqU6-o3PAw" TargetMode="External"/><Relationship Id="rId558" Type="http://schemas.openxmlformats.org/officeDocument/2006/relationships/hyperlink" Target="https://youtu.be/xbnan2iNh-Q" TargetMode="External"/><Relationship Id="rId723" Type="http://schemas.openxmlformats.org/officeDocument/2006/relationships/hyperlink" Target="https://youtu.be/1n6xrEI5g0Q" TargetMode="External"/><Relationship Id="rId765" Type="http://schemas.openxmlformats.org/officeDocument/2006/relationships/hyperlink" Target="https://youtu.be/qTSTOVVr8rU" TargetMode="External"/><Relationship Id="rId155" Type="http://schemas.openxmlformats.org/officeDocument/2006/relationships/hyperlink" Target="https://youtu.be/xaOQJjzNrd8" TargetMode="External"/><Relationship Id="rId197" Type="http://schemas.openxmlformats.org/officeDocument/2006/relationships/hyperlink" Target="https://youtu.be/WMkCGNwo5ts" TargetMode="External"/><Relationship Id="rId362" Type="http://schemas.openxmlformats.org/officeDocument/2006/relationships/hyperlink" Target="https://youtu.be/uCAoI5FnLhs" TargetMode="External"/><Relationship Id="rId418" Type="http://schemas.openxmlformats.org/officeDocument/2006/relationships/hyperlink" Target="https://youtu.be/UGwmUJkTIx8" TargetMode="External"/><Relationship Id="rId625" Type="http://schemas.openxmlformats.org/officeDocument/2006/relationships/hyperlink" Target="https://youtu.be/STZ3Twq5fgc" TargetMode="External"/><Relationship Id="rId832" Type="http://schemas.openxmlformats.org/officeDocument/2006/relationships/hyperlink" Target="https://youtu.be/01pnZt1uVFI" TargetMode="External"/><Relationship Id="rId222" Type="http://schemas.openxmlformats.org/officeDocument/2006/relationships/hyperlink" Target="https://youtu.be/5M8uPbfQsbg" TargetMode="External"/><Relationship Id="rId264" Type="http://schemas.openxmlformats.org/officeDocument/2006/relationships/hyperlink" Target="https://youtu.be/FCe6PIQbB-s" TargetMode="External"/><Relationship Id="rId471" Type="http://schemas.openxmlformats.org/officeDocument/2006/relationships/hyperlink" Target="https://youtu.be/qmyToaabqdQ" TargetMode="External"/><Relationship Id="rId667" Type="http://schemas.openxmlformats.org/officeDocument/2006/relationships/hyperlink" Target="https://youtu.be/y28L1m1PYUQ" TargetMode="External"/><Relationship Id="rId874" Type="http://schemas.openxmlformats.org/officeDocument/2006/relationships/hyperlink" Target="https://youtu.be/sInGFVj-bJA" TargetMode="External"/><Relationship Id="rId17" Type="http://schemas.openxmlformats.org/officeDocument/2006/relationships/hyperlink" Target="https://youtu.be/3DnqKKfz6wY" TargetMode="External"/><Relationship Id="rId59" Type="http://schemas.openxmlformats.org/officeDocument/2006/relationships/hyperlink" Target="https://youtu.be/AS4FeNiHyKg" TargetMode="External"/><Relationship Id="rId124" Type="http://schemas.openxmlformats.org/officeDocument/2006/relationships/hyperlink" Target="https://youtu.be/-mcxziH_KdM" TargetMode="External"/><Relationship Id="rId527" Type="http://schemas.openxmlformats.org/officeDocument/2006/relationships/hyperlink" Target="https://youtu.be/nc6pAci8Tpg" TargetMode="External"/><Relationship Id="rId569" Type="http://schemas.openxmlformats.org/officeDocument/2006/relationships/hyperlink" Target="https://youtu.be/LC9SO-pIXqA" TargetMode="External"/><Relationship Id="rId734" Type="http://schemas.openxmlformats.org/officeDocument/2006/relationships/hyperlink" Target="https://youtu.be/kSxgX6HIYxQ" TargetMode="External"/><Relationship Id="rId776" Type="http://schemas.openxmlformats.org/officeDocument/2006/relationships/hyperlink" Target="https://youtu.be/KlxdhDSi5Dc" TargetMode="External"/><Relationship Id="rId70" Type="http://schemas.openxmlformats.org/officeDocument/2006/relationships/hyperlink" Target="https://youtu.be/wXjPZdhUzBQ" TargetMode="External"/><Relationship Id="rId166" Type="http://schemas.openxmlformats.org/officeDocument/2006/relationships/hyperlink" Target="https://youtu.be/01pnZt1uVFI" TargetMode="External"/><Relationship Id="rId331" Type="http://schemas.openxmlformats.org/officeDocument/2006/relationships/hyperlink" Target="https://youtu.be/Q_n8cSQLhog" TargetMode="External"/><Relationship Id="rId373" Type="http://schemas.openxmlformats.org/officeDocument/2006/relationships/hyperlink" Target="https://youtu.be/UbNb5Tsl46c" TargetMode="External"/><Relationship Id="rId429" Type="http://schemas.openxmlformats.org/officeDocument/2006/relationships/hyperlink" Target="https://youtu.be/AS4FeNiHyKg" TargetMode="External"/><Relationship Id="rId580" Type="http://schemas.openxmlformats.org/officeDocument/2006/relationships/hyperlink" Target="https://youtu.be/BRueufxDP2Q" TargetMode="External"/><Relationship Id="rId636" Type="http://schemas.openxmlformats.org/officeDocument/2006/relationships/hyperlink" Target="https://youtu.be/8RwbLtfLu6A" TargetMode="External"/><Relationship Id="rId801" Type="http://schemas.openxmlformats.org/officeDocument/2006/relationships/hyperlink" Target="https://youtu.be/FGJ64JyKod0" TargetMode="External"/><Relationship Id="rId1" Type="http://schemas.openxmlformats.org/officeDocument/2006/relationships/hyperlink" Target="https://youtu.be/y28L1m1PYUQ" TargetMode="External"/><Relationship Id="rId233" Type="http://schemas.openxmlformats.org/officeDocument/2006/relationships/hyperlink" Target="https://youtu.be/nDl3VjkLPQE" TargetMode="External"/><Relationship Id="rId440" Type="http://schemas.openxmlformats.org/officeDocument/2006/relationships/hyperlink" Target="https://youtu.be/wXjPZdhUzBQ" TargetMode="External"/><Relationship Id="rId678" Type="http://schemas.openxmlformats.org/officeDocument/2006/relationships/hyperlink" Target="https://youtu.be/01pnZt1uVFI" TargetMode="External"/><Relationship Id="rId843" Type="http://schemas.openxmlformats.org/officeDocument/2006/relationships/hyperlink" Target="https://youtu.be/Z8OrSIk_574" TargetMode="External"/><Relationship Id="rId885" Type="http://schemas.openxmlformats.org/officeDocument/2006/relationships/hyperlink" Target="https://youtu.be/nc6pAci8Tpg" TargetMode="External"/><Relationship Id="rId28" Type="http://schemas.openxmlformats.org/officeDocument/2006/relationships/hyperlink" Target="https://youtu.be/DX1WzS7k0Uc" TargetMode="External"/><Relationship Id="rId275" Type="http://schemas.openxmlformats.org/officeDocument/2006/relationships/hyperlink" Target="https://youtu.be/Nf1_Ok0LDcI" TargetMode="External"/><Relationship Id="rId300" Type="http://schemas.openxmlformats.org/officeDocument/2006/relationships/hyperlink" Target="https://youtu.be/ad0NL7TH2-I" TargetMode="External"/><Relationship Id="rId482" Type="http://schemas.openxmlformats.org/officeDocument/2006/relationships/hyperlink" Target="https://youtu.be/aHS9tKzJXik" TargetMode="External"/><Relationship Id="rId538" Type="http://schemas.openxmlformats.org/officeDocument/2006/relationships/hyperlink" Target="https://youtu.be/QZ7VZpjNTG8" TargetMode="External"/><Relationship Id="rId703" Type="http://schemas.openxmlformats.org/officeDocument/2006/relationships/hyperlink" Target="https://youtu.be/G0_M9LBCT0o" TargetMode="External"/><Relationship Id="rId745" Type="http://schemas.openxmlformats.org/officeDocument/2006/relationships/hyperlink" Target="https://youtu.be/q3agRhqt_WA" TargetMode="External"/><Relationship Id="rId910" Type="http://schemas.openxmlformats.org/officeDocument/2006/relationships/table" Target="../tables/table8.xml"/><Relationship Id="rId81" Type="http://schemas.openxmlformats.org/officeDocument/2006/relationships/hyperlink" Target="https://youtu.be/xaOQJjzNrd8" TargetMode="External"/><Relationship Id="rId135" Type="http://schemas.openxmlformats.org/officeDocument/2006/relationships/hyperlink" Target="https://youtu.be/FGJ64JyKod0" TargetMode="External"/><Relationship Id="rId177" Type="http://schemas.openxmlformats.org/officeDocument/2006/relationships/hyperlink" Target="https://youtu.be/Z8OrSIk_574" TargetMode="External"/><Relationship Id="rId342" Type="http://schemas.openxmlformats.org/officeDocument/2006/relationships/hyperlink" Target="https://youtu.be/ksBaBSfmZf4" TargetMode="External"/><Relationship Id="rId384" Type="http://schemas.openxmlformats.org/officeDocument/2006/relationships/hyperlink" Target="https://youtu.be/-mcxziH_KdM" TargetMode="External"/><Relationship Id="rId591" Type="http://schemas.openxmlformats.org/officeDocument/2006/relationships/hyperlink" Target="https://youtu.be/Z8OrSIk_574" TargetMode="External"/><Relationship Id="rId605" Type="http://schemas.openxmlformats.org/officeDocument/2006/relationships/hyperlink" Target="https://youtu.be/WMkCGNwo5ts" TargetMode="External"/><Relationship Id="rId787" Type="http://schemas.openxmlformats.org/officeDocument/2006/relationships/hyperlink" Target="https://youtu.be/wSHxfQJe1ic" TargetMode="External"/><Relationship Id="rId812" Type="http://schemas.openxmlformats.org/officeDocument/2006/relationships/hyperlink" Target="https://youtu.be/DX1WzS7k0Uc" TargetMode="External"/><Relationship Id="rId202" Type="http://schemas.openxmlformats.org/officeDocument/2006/relationships/hyperlink" Target="https://youtu.be/vneVQlN7LR4" TargetMode="External"/><Relationship Id="rId244" Type="http://schemas.openxmlformats.org/officeDocument/2006/relationships/hyperlink" Target="https://youtu.be/2KDc6iAcrAw" TargetMode="External"/><Relationship Id="rId647" Type="http://schemas.openxmlformats.org/officeDocument/2006/relationships/hyperlink" Target="https://youtu.be/7GvY7yTEepM" TargetMode="External"/><Relationship Id="rId689" Type="http://schemas.openxmlformats.org/officeDocument/2006/relationships/hyperlink" Target="https://youtu.be/CQDTdasj9BA" TargetMode="External"/><Relationship Id="rId854" Type="http://schemas.openxmlformats.org/officeDocument/2006/relationships/hyperlink" Target="https://youtu.be/xbnan2iNh-Q" TargetMode="External"/><Relationship Id="rId896" Type="http://schemas.openxmlformats.org/officeDocument/2006/relationships/hyperlink" Target="https://youtu.be/v3N4tpPpmyQ" TargetMode="External"/><Relationship Id="rId39" Type="http://schemas.openxmlformats.org/officeDocument/2006/relationships/hyperlink" Target="https://youtu.be/Ma99aw-VDJQ" TargetMode="External"/><Relationship Id="rId286" Type="http://schemas.openxmlformats.org/officeDocument/2006/relationships/hyperlink" Target="https://youtu.be/HJx1sIZKDqk" TargetMode="External"/><Relationship Id="rId451" Type="http://schemas.openxmlformats.org/officeDocument/2006/relationships/hyperlink" Target="https://youtu.be/xaOQJjzNrd8" TargetMode="External"/><Relationship Id="rId493" Type="http://schemas.openxmlformats.org/officeDocument/2006/relationships/hyperlink" Target="https://youtu.be/WMkCGNwo5ts" TargetMode="External"/><Relationship Id="rId507" Type="http://schemas.openxmlformats.org/officeDocument/2006/relationships/hyperlink" Target="https://youtu.be/G7bonPtkitM" TargetMode="External"/><Relationship Id="rId549" Type="http://schemas.openxmlformats.org/officeDocument/2006/relationships/hyperlink" Target="https://youtu.be/WkI6IHmYORY" TargetMode="External"/><Relationship Id="rId714" Type="http://schemas.openxmlformats.org/officeDocument/2006/relationships/hyperlink" Target="https://youtu.be/UGwmUJkTIx8" TargetMode="External"/><Relationship Id="rId756" Type="http://schemas.openxmlformats.org/officeDocument/2006/relationships/hyperlink" Target="https://youtu.be/7l859qd4E48" TargetMode="External"/><Relationship Id="rId50" Type="http://schemas.openxmlformats.org/officeDocument/2006/relationships/hyperlink" Target="https://youtu.be/-mcxziH_KdM" TargetMode="External"/><Relationship Id="rId104" Type="http://schemas.openxmlformats.org/officeDocument/2006/relationships/hyperlink" Target="https://youtu.be/nc6pAci8Tpg" TargetMode="External"/><Relationship Id="rId146" Type="http://schemas.openxmlformats.org/officeDocument/2006/relationships/hyperlink" Target="https://youtu.be/DX1WzS7k0Uc" TargetMode="External"/><Relationship Id="rId188" Type="http://schemas.openxmlformats.org/officeDocument/2006/relationships/hyperlink" Target="https://youtu.be/xbnan2iNh-Q" TargetMode="External"/><Relationship Id="rId311" Type="http://schemas.openxmlformats.org/officeDocument/2006/relationships/hyperlink" Target="https://youtu.be/LC9SO-pIXqA" TargetMode="External"/><Relationship Id="rId353" Type="http://schemas.openxmlformats.org/officeDocument/2006/relationships/hyperlink" Target="https://youtu.be/1n6xrEI5g0Q" TargetMode="External"/><Relationship Id="rId395" Type="http://schemas.openxmlformats.org/officeDocument/2006/relationships/hyperlink" Target="https://youtu.be/qTSTOVVr8rU" TargetMode="External"/><Relationship Id="rId409" Type="http://schemas.openxmlformats.org/officeDocument/2006/relationships/hyperlink" Target="https://youtu.be/Ma99aw-VDJQ" TargetMode="External"/><Relationship Id="rId560" Type="http://schemas.openxmlformats.org/officeDocument/2006/relationships/hyperlink" Target="https://youtu.be/FCe6PIQbB-s" TargetMode="External"/><Relationship Id="rId798" Type="http://schemas.openxmlformats.org/officeDocument/2006/relationships/hyperlink" Target="https://youtu.be/J0l0qQCy80Q" TargetMode="External"/><Relationship Id="rId92" Type="http://schemas.openxmlformats.org/officeDocument/2006/relationships/hyperlink" Target="https://youtu.be/01pnZt1uVFI" TargetMode="External"/><Relationship Id="rId213" Type="http://schemas.openxmlformats.org/officeDocument/2006/relationships/hyperlink" Target="https://youtu.be/S9NEwbiYEBE" TargetMode="External"/><Relationship Id="rId420" Type="http://schemas.openxmlformats.org/officeDocument/2006/relationships/hyperlink" Target="https://youtu.be/-mcxziH_KdM" TargetMode="External"/><Relationship Id="rId616" Type="http://schemas.openxmlformats.org/officeDocument/2006/relationships/hyperlink" Target="https://youtu.be/0EqU6-o3PAw" TargetMode="External"/><Relationship Id="rId658" Type="http://schemas.openxmlformats.org/officeDocument/2006/relationships/hyperlink" Target="https://youtu.be/uCAoI5FnLhs" TargetMode="External"/><Relationship Id="rId823" Type="http://schemas.openxmlformats.org/officeDocument/2006/relationships/hyperlink" Target="https://youtu.be/nc6pAci8Tpg" TargetMode="External"/><Relationship Id="rId865" Type="http://schemas.openxmlformats.org/officeDocument/2006/relationships/hyperlink" Target="https://youtu.be/LC9SO-pIXqA" TargetMode="External"/><Relationship Id="rId255" Type="http://schemas.openxmlformats.org/officeDocument/2006/relationships/hyperlink" Target="https://youtu.be/STZ3Twq5fgc" TargetMode="External"/><Relationship Id="rId297" Type="http://schemas.openxmlformats.org/officeDocument/2006/relationships/hyperlink" Target="https://youtu.be/y28L1m1PYUQ" TargetMode="External"/><Relationship Id="rId462" Type="http://schemas.openxmlformats.org/officeDocument/2006/relationships/hyperlink" Target="https://youtu.be/01pnZt1uVFI" TargetMode="External"/><Relationship Id="rId518" Type="http://schemas.openxmlformats.org/officeDocument/2006/relationships/hyperlink" Target="https://youtu.be/5M8uPbfQsbg" TargetMode="External"/><Relationship Id="rId725" Type="http://schemas.openxmlformats.org/officeDocument/2006/relationships/hyperlink" Target="https://youtu.be/AS4FeNiHyKg" TargetMode="External"/><Relationship Id="rId115" Type="http://schemas.openxmlformats.org/officeDocument/2006/relationships/hyperlink" Target="https://youtu.be/CaryZp20CuI" TargetMode="External"/><Relationship Id="rId157" Type="http://schemas.openxmlformats.org/officeDocument/2006/relationships/hyperlink" Target="https://youtu.be/nc6pAci8Tpg" TargetMode="External"/><Relationship Id="rId322" Type="http://schemas.openxmlformats.org/officeDocument/2006/relationships/hyperlink" Target="https://youtu.be/cJ8JrXUQ3xQ" TargetMode="External"/><Relationship Id="rId364" Type="http://schemas.openxmlformats.org/officeDocument/2006/relationships/hyperlink" Target="https://youtu.be/kSxgX6HIYxQ" TargetMode="External"/><Relationship Id="rId767" Type="http://schemas.openxmlformats.org/officeDocument/2006/relationships/hyperlink" Target="https://youtu.be/qmyToaabqdQ" TargetMode="External"/><Relationship Id="rId61" Type="http://schemas.openxmlformats.org/officeDocument/2006/relationships/hyperlink" Target="https://youtu.be/FGJ64JyKod0" TargetMode="External"/><Relationship Id="rId199" Type="http://schemas.openxmlformats.org/officeDocument/2006/relationships/hyperlink" Target="https://youtu.be/LC9SO-pIXqA" TargetMode="External"/><Relationship Id="rId571" Type="http://schemas.openxmlformats.org/officeDocument/2006/relationships/hyperlink" Target="https://youtu.be/Nf1_Ok0LDcI" TargetMode="External"/><Relationship Id="rId627" Type="http://schemas.openxmlformats.org/officeDocument/2006/relationships/hyperlink" Target="https://youtu.be/Q_n8cSQLhog" TargetMode="External"/><Relationship Id="rId669" Type="http://schemas.openxmlformats.org/officeDocument/2006/relationships/hyperlink" Target="https://youtu.be/UbNb5Tsl46c" TargetMode="External"/><Relationship Id="rId834" Type="http://schemas.openxmlformats.org/officeDocument/2006/relationships/hyperlink" Target="https://youtu.be/QZ7VZpjNTG8" TargetMode="External"/><Relationship Id="rId876" Type="http://schemas.openxmlformats.org/officeDocument/2006/relationships/hyperlink" Target="https://youtu.be/BRueufxDP2Q" TargetMode="External"/><Relationship Id="rId19" Type="http://schemas.openxmlformats.org/officeDocument/2006/relationships/hyperlink" Target="https://youtu.be/-FAxUZoPDc4" TargetMode="External"/><Relationship Id="rId224" Type="http://schemas.openxmlformats.org/officeDocument/2006/relationships/hyperlink" Target="https://youtu.be/oWJBLChYZOQ" TargetMode="External"/><Relationship Id="rId266" Type="http://schemas.openxmlformats.org/officeDocument/2006/relationships/hyperlink" Target="https://youtu.be/8RwbLtfLu6A" TargetMode="External"/><Relationship Id="rId431" Type="http://schemas.openxmlformats.org/officeDocument/2006/relationships/hyperlink" Target="https://youtu.be/FGJ64JyKod0" TargetMode="External"/><Relationship Id="rId473" Type="http://schemas.openxmlformats.org/officeDocument/2006/relationships/hyperlink" Target="https://youtu.be/Z8OrSIk_574" TargetMode="External"/><Relationship Id="rId529" Type="http://schemas.openxmlformats.org/officeDocument/2006/relationships/hyperlink" Target="https://youtu.be/nDl3VjkLPQE" TargetMode="External"/><Relationship Id="rId680" Type="http://schemas.openxmlformats.org/officeDocument/2006/relationships/hyperlink" Target="https://youtu.be/-mcxziH_KdM" TargetMode="External"/><Relationship Id="rId736" Type="http://schemas.openxmlformats.org/officeDocument/2006/relationships/hyperlink" Target="https://youtu.be/wXjPZdhUzBQ" TargetMode="External"/><Relationship Id="rId901" Type="http://schemas.openxmlformats.org/officeDocument/2006/relationships/printerSettings" Target="../printerSettings/printerSettings1.bin"/><Relationship Id="rId30" Type="http://schemas.openxmlformats.org/officeDocument/2006/relationships/hyperlink" Target="https://youtu.be/nc6pAci8Tpg" TargetMode="External"/><Relationship Id="rId126" Type="http://schemas.openxmlformats.org/officeDocument/2006/relationships/hyperlink" Target="https://youtu.be/_w_Uan2dG-4" TargetMode="External"/><Relationship Id="rId168" Type="http://schemas.openxmlformats.org/officeDocument/2006/relationships/hyperlink" Target="https://youtu.be/QZ7VZpjNTG8" TargetMode="External"/><Relationship Id="rId333" Type="http://schemas.openxmlformats.org/officeDocument/2006/relationships/hyperlink" Target="https://youtu.be/G0_M9LBCT0o" TargetMode="External"/><Relationship Id="rId540" Type="http://schemas.openxmlformats.org/officeDocument/2006/relationships/hyperlink" Target="https://youtu.be/2KDc6iAcrAw" TargetMode="External"/><Relationship Id="rId778" Type="http://schemas.openxmlformats.org/officeDocument/2006/relationships/hyperlink" Target="https://youtu.be/aHS9tKzJXik" TargetMode="External"/><Relationship Id="rId72" Type="http://schemas.openxmlformats.org/officeDocument/2006/relationships/hyperlink" Target="https://youtu.be/DX1WzS7k0Uc" TargetMode="External"/><Relationship Id="rId375" Type="http://schemas.openxmlformats.org/officeDocument/2006/relationships/hyperlink" Target="https://youtu.be/q3agRhqt_WA" TargetMode="External"/><Relationship Id="rId582" Type="http://schemas.openxmlformats.org/officeDocument/2006/relationships/hyperlink" Target="https://youtu.be/HJx1sIZKDqk" TargetMode="External"/><Relationship Id="rId638" Type="http://schemas.openxmlformats.org/officeDocument/2006/relationships/hyperlink" Target="https://youtu.be/ksBaBSfmZf4" TargetMode="External"/><Relationship Id="rId803" Type="http://schemas.openxmlformats.org/officeDocument/2006/relationships/hyperlink" Target="https://youtu.be/G7bonPtkitM" TargetMode="External"/><Relationship Id="rId845" Type="http://schemas.openxmlformats.org/officeDocument/2006/relationships/hyperlink" Target="https://youtu.be/WkI6IHmYORY" TargetMode="External"/><Relationship Id="rId3" Type="http://schemas.openxmlformats.org/officeDocument/2006/relationships/hyperlink" Target="https://youtu.be/UbNb5Tsl46c" TargetMode="External"/><Relationship Id="rId235" Type="http://schemas.openxmlformats.org/officeDocument/2006/relationships/hyperlink" Target="https://youtu.be/WMkCGNwo5ts" TargetMode="External"/><Relationship Id="rId277" Type="http://schemas.openxmlformats.org/officeDocument/2006/relationships/hyperlink" Target="https://youtu.be/7GvY7yTEepM" TargetMode="External"/><Relationship Id="rId400" Type="http://schemas.openxmlformats.org/officeDocument/2006/relationships/hyperlink" Target="https://youtu.be/nc6pAci8Tpg" TargetMode="External"/><Relationship Id="rId442" Type="http://schemas.openxmlformats.org/officeDocument/2006/relationships/hyperlink" Target="https://youtu.be/DX1WzS7k0Uc" TargetMode="External"/><Relationship Id="rId484" Type="http://schemas.openxmlformats.org/officeDocument/2006/relationships/hyperlink" Target="https://youtu.be/xbnan2iNh-Q" TargetMode="External"/><Relationship Id="rId705" Type="http://schemas.openxmlformats.org/officeDocument/2006/relationships/hyperlink" Target="https://youtu.be/Ma99aw-VDJQ" TargetMode="External"/><Relationship Id="rId887" Type="http://schemas.openxmlformats.org/officeDocument/2006/relationships/hyperlink" Target="https://youtu.be/Z8OrSIk_574" TargetMode="External"/><Relationship Id="rId137" Type="http://schemas.openxmlformats.org/officeDocument/2006/relationships/hyperlink" Target="https://youtu.be/G7bonPtkitM" TargetMode="External"/><Relationship Id="rId302" Type="http://schemas.openxmlformats.org/officeDocument/2006/relationships/hyperlink" Target="https://youtu.be/dhSKkQdUzoA" TargetMode="External"/><Relationship Id="rId344" Type="http://schemas.openxmlformats.org/officeDocument/2006/relationships/hyperlink" Target="https://youtu.be/UGwmUJkTIx8" TargetMode="External"/><Relationship Id="rId691" Type="http://schemas.openxmlformats.org/officeDocument/2006/relationships/hyperlink" Target="https://youtu.be/qTSTOVVr8rU" TargetMode="External"/><Relationship Id="rId747" Type="http://schemas.openxmlformats.org/officeDocument/2006/relationships/hyperlink" Target="https://youtu.be/xaOQJjzNrd8" TargetMode="External"/><Relationship Id="rId789" Type="http://schemas.openxmlformats.org/officeDocument/2006/relationships/hyperlink" Target="https://youtu.be/WMkCGNwo5ts" TargetMode="External"/><Relationship Id="rId912" Type="http://schemas.openxmlformats.org/officeDocument/2006/relationships/table" Target="../tables/table10.xml"/><Relationship Id="rId41" Type="http://schemas.openxmlformats.org/officeDocument/2006/relationships/hyperlink" Target="https://youtu.be/CaryZp20CuI" TargetMode="External"/><Relationship Id="rId83" Type="http://schemas.openxmlformats.org/officeDocument/2006/relationships/hyperlink" Target="https://youtu.be/nc6pAci8Tpg" TargetMode="External"/><Relationship Id="rId179" Type="http://schemas.openxmlformats.org/officeDocument/2006/relationships/hyperlink" Target="https://youtu.be/WkI6IHmYORY" TargetMode="External"/><Relationship Id="rId386" Type="http://schemas.openxmlformats.org/officeDocument/2006/relationships/hyperlink" Target="https://youtu.be/7l859qd4E48" TargetMode="External"/><Relationship Id="rId551" Type="http://schemas.openxmlformats.org/officeDocument/2006/relationships/hyperlink" Target="https://youtu.be/STZ3Twq5fgc" TargetMode="External"/><Relationship Id="rId593" Type="http://schemas.openxmlformats.org/officeDocument/2006/relationships/hyperlink" Target="https://youtu.be/y28L1m1PYUQ" TargetMode="External"/><Relationship Id="rId607" Type="http://schemas.openxmlformats.org/officeDocument/2006/relationships/hyperlink" Target="https://youtu.be/LC9SO-pIXqA" TargetMode="External"/><Relationship Id="rId649" Type="http://schemas.openxmlformats.org/officeDocument/2006/relationships/hyperlink" Target="https://youtu.be/1n6xrEI5g0Q" TargetMode="External"/><Relationship Id="rId814" Type="http://schemas.openxmlformats.org/officeDocument/2006/relationships/hyperlink" Target="https://youtu.be/5M8uPbfQsbg" TargetMode="External"/><Relationship Id="rId856" Type="http://schemas.openxmlformats.org/officeDocument/2006/relationships/hyperlink" Target="https://youtu.be/FCe6PIQbB-s" TargetMode="External"/><Relationship Id="rId190" Type="http://schemas.openxmlformats.org/officeDocument/2006/relationships/hyperlink" Target="https://youtu.be/FCe6PIQbB-s" TargetMode="External"/><Relationship Id="rId204" Type="http://schemas.openxmlformats.org/officeDocument/2006/relationships/hyperlink" Target="https://youtu.be/5KX0EjOTMaI" TargetMode="External"/><Relationship Id="rId246" Type="http://schemas.openxmlformats.org/officeDocument/2006/relationships/hyperlink" Target="https://youtu.be/0EqU6-o3PAw" TargetMode="External"/><Relationship Id="rId288" Type="http://schemas.openxmlformats.org/officeDocument/2006/relationships/hyperlink" Target="https://youtu.be/uCAoI5FnLhs" TargetMode="External"/><Relationship Id="rId411" Type="http://schemas.openxmlformats.org/officeDocument/2006/relationships/hyperlink" Target="https://youtu.be/CaryZp20CuI" TargetMode="External"/><Relationship Id="rId453" Type="http://schemas.openxmlformats.org/officeDocument/2006/relationships/hyperlink" Target="https://youtu.be/nc6pAci8Tpg" TargetMode="External"/><Relationship Id="rId509" Type="http://schemas.openxmlformats.org/officeDocument/2006/relationships/hyperlink" Target="https://youtu.be/S9NEwbiYEBE" TargetMode="External"/><Relationship Id="rId660" Type="http://schemas.openxmlformats.org/officeDocument/2006/relationships/hyperlink" Target="https://youtu.be/kSxgX6HIYxQ" TargetMode="External"/><Relationship Id="rId898" Type="http://schemas.openxmlformats.org/officeDocument/2006/relationships/hyperlink" Target="https://youtu.be/v3N4tpPpmyQ" TargetMode="External"/><Relationship Id="rId106" Type="http://schemas.openxmlformats.org/officeDocument/2006/relationships/hyperlink" Target="https://youtu.be/MXGZHJFQ9bE" TargetMode="External"/><Relationship Id="rId313" Type="http://schemas.openxmlformats.org/officeDocument/2006/relationships/hyperlink" Target="https://youtu.be/3DnqKKfz6wY" TargetMode="External"/><Relationship Id="rId495" Type="http://schemas.openxmlformats.org/officeDocument/2006/relationships/hyperlink" Target="https://youtu.be/LC9SO-pIXqA" TargetMode="External"/><Relationship Id="rId716" Type="http://schemas.openxmlformats.org/officeDocument/2006/relationships/hyperlink" Target="https://youtu.be/-mcxziH_KdM" TargetMode="External"/><Relationship Id="rId758" Type="http://schemas.openxmlformats.org/officeDocument/2006/relationships/hyperlink" Target="https://youtu.be/01pnZt1uVFI" TargetMode="External"/><Relationship Id="rId10" Type="http://schemas.openxmlformats.org/officeDocument/2006/relationships/hyperlink" Target="https://youtu.be/oB27u_w3pX4" TargetMode="External"/><Relationship Id="rId52" Type="http://schemas.openxmlformats.org/officeDocument/2006/relationships/hyperlink" Target="https://youtu.be/_w_Uan2dG-4" TargetMode="External"/><Relationship Id="rId94" Type="http://schemas.openxmlformats.org/officeDocument/2006/relationships/hyperlink" Target="https://youtu.be/QZ7VZpjNTG8" TargetMode="External"/><Relationship Id="rId148" Type="http://schemas.openxmlformats.org/officeDocument/2006/relationships/hyperlink" Target="https://youtu.be/5M8uPbfQsbg" TargetMode="External"/><Relationship Id="rId355" Type="http://schemas.openxmlformats.org/officeDocument/2006/relationships/hyperlink" Target="https://youtu.be/AS4FeNiHyKg" TargetMode="External"/><Relationship Id="rId397" Type="http://schemas.openxmlformats.org/officeDocument/2006/relationships/hyperlink" Target="https://youtu.be/qmyToaabqdQ" TargetMode="External"/><Relationship Id="rId520" Type="http://schemas.openxmlformats.org/officeDocument/2006/relationships/hyperlink" Target="https://youtu.be/oWJBLChYZOQ" TargetMode="External"/><Relationship Id="rId562" Type="http://schemas.openxmlformats.org/officeDocument/2006/relationships/hyperlink" Target="https://youtu.be/8RwbLtfLu6A" TargetMode="External"/><Relationship Id="rId618" Type="http://schemas.openxmlformats.org/officeDocument/2006/relationships/hyperlink" Target="https://youtu.be/cJ8JrXUQ3xQ" TargetMode="External"/><Relationship Id="rId825" Type="http://schemas.openxmlformats.org/officeDocument/2006/relationships/hyperlink" Target="https://youtu.be/nDl3VjkLPQE" TargetMode="External"/><Relationship Id="rId215" Type="http://schemas.openxmlformats.org/officeDocument/2006/relationships/hyperlink" Target="https://youtu.be/_KI-O0zMv60" TargetMode="External"/><Relationship Id="rId257" Type="http://schemas.openxmlformats.org/officeDocument/2006/relationships/hyperlink" Target="https://youtu.be/Q_n8cSQLhog" TargetMode="External"/><Relationship Id="rId422" Type="http://schemas.openxmlformats.org/officeDocument/2006/relationships/hyperlink" Target="https://youtu.be/_w_Uan2dG-4" TargetMode="External"/><Relationship Id="rId464" Type="http://schemas.openxmlformats.org/officeDocument/2006/relationships/hyperlink" Target="https://youtu.be/QZ7VZpjNTG8" TargetMode="External"/><Relationship Id="rId867" Type="http://schemas.openxmlformats.org/officeDocument/2006/relationships/hyperlink" Target="https://youtu.be/Nf1_Ok0LDcI" TargetMode="External"/><Relationship Id="rId299" Type="http://schemas.openxmlformats.org/officeDocument/2006/relationships/hyperlink" Target="https://youtu.be/UbNb5Tsl46c" TargetMode="External"/><Relationship Id="rId727" Type="http://schemas.openxmlformats.org/officeDocument/2006/relationships/hyperlink" Target="https://youtu.be/FGJ64JyKod0" TargetMode="External"/><Relationship Id="rId63" Type="http://schemas.openxmlformats.org/officeDocument/2006/relationships/hyperlink" Target="https://youtu.be/G7bonPtkitM" TargetMode="External"/><Relationship Id="rId159" Type="http://schemas.openxmlformats.org/officeDocument/2006/relationships/hyperlink" Target="https://youtu.be/nDl3VjkLPQE" TargetMode="External"/><Relationship Id="rId366" Type="http://schemas.openxmlformats.org/officeDocument/2006/relationships/hyperlink" Target="https://youtu.be/wXjPZdhUzBQ" TargetMode="External"/><Relationship Id="rId573" Type="http://schemas.openxmlformats.org/officeDocument/2006/relationships/hyperlink" Target="https://youtu.be/7GvY7yTEepM" TargetMode="External"/><Relationship Id="rId780" Type="http://schemas.openxmlformats.org/officeDocument/2006/relationships/hyperlink" Target="https://youtu.be/xbnan2iNh-Q" TargetMode="External"/><Relationship Id="rId226" Type="http://schemas.openxmlformats.org/officeDocument/2006/relationships/hyperlink" Target="https://youtu.be/ad0NL7TH2-I" TargetMode="External"/><Relationship Id="rId433" Type="http://schemas.openxmlformats.org/officeDocument/2006/relationships/hyperlink" Target="https://youtu.be/G7bonPtkitM" TargetMode="External"/><Relationship Id="rId878" Type="http://schemas.openxmlformats.org/officeDocument/2006/relationships/hyperlink" Target="https://youtu.be/HJx1sIZKDqk" TargetMode="External"/><Relationship Id="rId640" Type="http://schemas.openxmlformats.org/officeDocument/2006/relationships/hyperlink" Target="https://youtu.be/UGwmUJkTIx8" TargetMode="External"/><Relationship Id="rId738" Type="http://schemas.openxmlformats.org/officeDocument/2006/relationships/hyperlink" Target="https://youtu.be/DX1WzS7k0Uc" TargetMode="External"/><Relationship Id="rId74" Type="http://schemas.openxmlformats.org/officeDocument/2006/relationships/hyperlink" Target="https://youtu.be/5M8uPbfQsbg" TargetMode="External"/><Relationship Id="rId377" Type="http://schemas.openxmlformats.org/officeDocument/2006/relationships/hyperlink" Target="https://youtu.be/xaOQJjzNrd8" TargetMode="External"/><Relationship Id="rId500" Type="http://schemas.openxmlformats.org/officeDocument/2006/relationships/hyperlink" Target="https://youtu.be/5KX0EjOTMaI" TargetMode="External"/><Relationship Id="rId584" Type="http://schemas.openxmlformats.org/officeDocument/2006/relationships/hyperlink" Target="https://youtu.be/uCAoI5FnLhs" TargetMode="External"/><Relationship Id="rId805" Type="http://schemas.openxmlformats.org/officeDocument/2006/relationships/hyperlink" Target="https://youtu.be/S9NEwbiYEBE" TargetMode="External"/><Relationship Id="rId5" Type="http://schemas.openxmlformats.org/officeDocument/2006/relationships/hyperlink" Target="https://youtu.be/q3agRhqt_WA" TargetMode="External"/><Relationship Id="rId237" Type="http://schemas.openxmlformats.org/officeDocument/2006/relationships/hyperlink" Target="https://youtu.be/LC9SO-pIXqA" TargetMode="External"/><Relationship Id="rId791" Type="http://schemas.openxmlformats.org/officeDocument/2006/relationships/hyperlink" Target="https://youtu.be/LC9SO-pIXqA" TargetMode="External"/><Relationship Id="rId889" Type="http://schemas.openxmlformats.org/officeDocument/2006/relationships/hyperlink" Target="https://youtu.be/v3N4tpPpmyQ" TargetMode="External"/><Relationship Id="rId444" Type="http://schemas.openxmlformats.org/officeDocument/2006/relationships/hyperlink" Target="https://youtu.be/5M8uPbfQsbg" TargetMode="External"/><Relationship Id="rId651" Type="http://schemas.openxmlformats.org/officeDocument/2006/relationships/hyperlink" Target="https://youtu.be/AS4FeNiHyKg" TargetMode="External"/><Relationship Id="rId749" Type="http://schemas.openxmlformats.org/officeDocument/2006/relationships/hyperlink" Target="https://youtu.be/nc6pAci8Tpg" TargetMode="External"/><Relationship Id="rId290" Type="http://schemas.openxmlformats.org/officeDocument/2006/relationships/hyperlink" Target="https://youtu.be/kSxgX6HIYxQ" TargetMode="External"/><Relationship Id="rId304" Type="http://schemas.openxmlformats.org/officeDocument/2006/relationships/hyperlink" Target="https://youtu.be/xxnjF6ljHmg" TargetMode="External"/><Relationship Id="rId388" Type="http://schemas.openxmlformats.org/officeDocument/2006/relationships/hyperlink" Target="https://youtu.be/01pnZt1uVFI" TargetMode="External"/><Relationship Id="rId511" Type="http://schemas.openxmlformats.org/officeDocument/2006/relationships/hyperlink" Target="https://youtu.be/_KI-O0zMv60" TargetMode="External"/><Relationship Id="rId609" Type="http://schemas.openxmlformats.org/officeDocument/2006/relationships/hyperlink" Target="https://youtu.be/3DnqKKfz6wY" TargetMode="External"/><Relationship Id="rId85" Type="http://schemas.openxmlformats.org/officeDocument/2006/relationships/hyperlink" Target="https://youtu.be/nDl3VjkLPQE" TargetMode="External"/><Relationship Id="rId150" Type="http://schemas.openxmlformats.org/officeDocument/2006/relationships/hyperlink" Target="https://youtu.be/oWJBLChYZOQ" TargetMode="External"/><Relationship Id="rId595" Type="http://schemas.openxmlformats.org/officeDocument/2006/relationships/hyperlink" Target="https://youtu.be/UbNb5Tsl46c" TargetMode="External"/><Relationship Id="rId816" Type="http://schemas.openxmlformats.org/officeDocument/2006/relationships/hyperlink" Target="https://youtu.be/oWJBLChYZOQ" TargetMode="External"/><Relationship Id="rId248" Type="http://schemas.openxmlformats.org/officeDocument/2006/relationships/hyperlink" Target="https://youtu.be/cJ8JrXUQ3xQ" TargetMode="External"/><Relationship Id="rId455" Type="http://schemas.openxmlformats.org/officeDocument/2006/relationships/hyperlink" Target="https://youtu.be/nDl3VjkLPQE" TargetMode="External"/><Relationship Id="rId662" Type="http://schemas.openxmlformats.org/officeDocument/2006/relationships/hyperlink" Target="https://youtu.be/wXjPZdhUzBQ" TargetMode="External"/><Relationship Id="rId12" Type="http://schemas.openxmlformats.org/officeDocument/2006/relationships/hyperlink" Target="https://youtu.be/01pnZt1uVFI" TargetMode="External"/><Relationship Id="rId108" Type="http://schemas.openxmlformats.org/officeDocument/2006/relationships/hyperlink" Target="https://youtu.be/LvJM9V3D_CQ" TargetMode="External"/><Relationship Id="rId315" Type="http://schemas.openxmlformats.org/officeDocument/2006/relationships/hyperlink" Target="https://youtu.be/-FAxUZoPDc4" TargetMode="External"/><Relationship Id="rId522" Type="http://schemas.openxmlformats.org/officeDocument/2006/relationships/hyperlink" Target="https://youtu.be/ad0NL7TH2-I" TargetMode="External"/><Relationship Id="rId96" Type="http://schemas.openxmlformats.org/officeDocument/2006/relationships/hyperlink" Target="https://youtu.be/2KDc6iAcrAw" TargetMode="External"/><Relationship Id="rId161" Type="http://schemas.openxmlformats.org/officeDocument/2006/relationships/hyperlink" Target="https://youtu.be/WMkCGNwo5ts" TargetMode="External"/><Relationship Id="rId399" Type="http://schemas.openxmlformats.org/officeDocument/2006/relationships/hyperlink" Target="https://youtu.be/Z8OrSIk_574" TargetMode="External"/><Relationship Id="rId827" Type="http://schemas.openxmlformats.org/officeDocument/2006/relationships/hyperlink" Target="https://youtu.be/WMkCGNwo5ts" TargetMode="External"/><Relationship Id="rId259" Type="http://schemas.openxmlformats.org/officeDocument/2006/relationships/hyperlink" Target="https://youtu.be/G0_M9LBCT0o" TargetMode="External"/><Relationship Id="rId466" Type="http://schemas.openxmlformats.org/officeDocument/2006/relationships/hyperlink" Target="https://youtu.be/2KDc6iAcrAw" TargetMode="External"/><Relationship Id="rId673" Type="http://schemas.openxmlformats.org/officeDocument/2006/relationships/hyperlink" Target="https://youtu.be/xaOQJjzNrd8" TargetMode="External"/><Relationship Id="rId880" Type="http://schemas.openxmlformats.org/officeDocument/2006/relationships/hyperlink" Target="https://youtu.be/uCAoI5FnLhs" TargetMode="External"/><Relationship Id="rId23" Type="http://schemas.openxmlformats.org/officeDocument/2006/relationships/hyperlink" Target="https://youtu.be/CQDTdasj9BA" TargetMode="External"/><Relationship Id="rId119" Type="http://schemas.openxmlformats.org/officeDocument/2006/relationships/hyperlink" Target="https://youtu.be/1Rr1-FW6ZJs" TargetMode="External"/><Relationship Id="rId326" Type="http://schemas.openxmlformats.org/officeDocument/2006/relationships/hyperlink" Target="https://youtu.be/nc6pAci8Tpg" TargetMode="External"/><Relationship Id="rId533" Type="http://schemas.openxmlformats.org/officeDocument/2006/relationships/hyperlink" Target="https://youtu.be/LC9SO-pIXqA" TargetMode="External"/><Relationship Id="rId740" Type="http://schemas.openxmlformats.org/officeDocument/2006/relationships/hyperlink" Target="https://youtu.be/5M8uPbfQsbg" TargetMode="External"/><Relationship Id="rId838" Type="http://schemas.openxmlformats.org/officeDocument/2006/relationships/hyperlink" Target="https://youtu.be/0EqU6-o3PAw" TargetMode="External"/><Relationship Id="rId172" Type="http://schemas.openxmlformats.org/officeDocument/2006/relationships/hyperlink" Target="https://youtu.be/0EqU6-o3PAw" TargetMode="External"/><Relationship Id="rId477" Type="http://schemas.openxmlformats.org/officeDocument/2006/relationships/hyperlink" Target="https://youtu.be/STZ3Twq5fgc" TargetMode="External"/><Relationship Id="rId600" Type="http://schemas.openxmlformats.org/officeDocument/2006/relationships/hyperlink" Target="https://youtu.be/xxnjF6ljHmg" TargetMode="External"/><Relationship Id="rId684" Type="http://schemas.openxmlformats.org/officeDocument/2006/relationships/hyperlink" Target="https://youtu.be/01pnZt1uVFI" TargetMode="External"/><Relationship Id="rId337" Type="http://schemas.openxmlformats.org/officeDocument/2006/relationships/hyperlink" Target="https://youtu.be/CaryZp20CuI" TargetMode="External"/><Relationship Id="rId891" Type="http://schemas.openxmlformats.org/officeDocument/2006/relationships/hyperlink" Target="https://youtu.be/v3N4tpPpmyQ" TargetMode="External"/><Relationship Id="rId905" Type="http://schemas.openxmlformats.org/officeDocument/2006/relationships/table" Target="../tables/table3.xml"/><Relationship Id="rId34" Type="http://schemas.openxmlformats.org/officeDocument/2006/relationships/hyperlink" Target="https://youtu.be/LvJM9V3D_CQ" TargetMode="External"/><Relationship Id="rId544" Type="http://schemas.openxmlformats.org/officeDocument/2006/relationships/hyperlink" Target="https://youtu.be/cJ8JrXUQ3xQ" TargetMode="External"/><Relationship Id="rId751" Type="http://schemas.openxmlformats.org/officeDocument/2006/relationships/hyperlink" Target="https://youtu.be/nDl3VjkLPQE" TargetMode="External"/><Relationship Id="rId849" Type="http://schemas.openxmlformats.org/officeDocument/2006/relationships/hyperlink" Target="https://youtu.be/Q_n8cSQLhog" TargetMode="External"/><Relationship Id="rId183" Type="http://schemas.openxmlformats.org/officeDocument/2006/relationships/hyperlink" Target="https://youtu.be/Q_n8cSQLhog" TargetMode="External"/><Relationship Id="rId390" Type="http://schemas.openxmlformats.org/officeDocument/2006/relationships/hyperlink" Target="https://youtu.be/QZ7VZpjNTG8" TargetMode="External"/><Relationship Id="rId404" Type="http://schemas.openxmlformats.org/officeDocument/2006/relationships/hyperlink" Target="https://youtu.be/LvJM9V3D_CQ" TargetMode="External"/><Relationship Id="rId611" Type="http://schemas.openxmlformats.org/officeDocument/2006/relationships/hyperlink" Target="https://youtu.be/-FAxUZoPDc4" TargetMode="External"/><Relationship Id="rId250" Type="http://schemas.openxmlformats.org/officeDocument/2006/relationships/hyperlink" Target="https://youtu.be/DX1WzS7k0Uc" TargetMode="External"/><Relationship Id="rId488" Type="http://schemas.openxmlformats.org/officeDocument/2006/relationships/hyperlink" Target="https://youtu.be/8RwbLtfLu6A" TargetMode="External"/><Relationship Id="rId695" Type="http://schemas.openxmlformats.org/officeDocument/2006/relationships/hyperlink" Target="https://youtu.be/Z8OrSIk_574" TargetMode="External"/><Relationship Id="rId709" Type="http://schemas.openxmlformats.org/officeDocument/2006/relationships/hyperlink" Target="https://youtu.be/ELgSmlwFsFQ" TargetMode="External"/><Relationship Id="rId916" Type="http://schemas.openxmlformats.org/officeDocument/2006/relationships/comments" Target="../comments1.xml"/><Relationship Id="rId45" Type="http://schemas.openxmlformats.org/officeDocument/2006/relationships/hyperlink" Target="https://youtu.be/1Rr1-FW6ZJs" TargetMode="External"/><Relationship Id="rId110" Type="http://schemas.openxmlformats.org/officeDocument/2006/relationships/hyperlink" Target="https://youtu.be/KlxdhDSi5Dc" TargetMode="External"/><Relationship Id="rId348" Type="http://schemas.openxmlformats.org/officeDocument/2006/relationships/hyperlink" Target="https://youtu.be/_w_Uan2dG-4" TargetMode="External"/><Relationship Id="rId555" Type="http://schemas.openxmlformats.org/officeDocument/2006/relationships/hyperlink" Target="https://youtu.be/G0_M9LBCT0o" TargetMode="External"/><Relationship Id="rId762" Type="http://schemas.openxmlformats.org/officeDocument/2006/relationships/hyperlink" Target="https://youtu.be/2KDc6iAcrAw" TargetMode="External"/><Relationship Id="rId194" Type="http://schemas.openxmlformats.org/officeDocument/2006/relationships/hyperlink" Target="https://youtu.be/ksBaBSfmZf4" TargetMode="External"/><Relationship Id="rId208" Type="http://schemas.openxmlformats.org/officeDocument/2006/relationships/hyperlink" Target="https://youtu.be/sInGFVj-bJA" TargetMode="External"/><Relationship Id="rId415" Type="http://schemas.openxmlformats.org/officeDocument/2006/relationships/hyperlink" Target="https://youtu.be/1Rr1-FW6ZJs" TargetMode="External"/><Relationship Id="rId622" Type="http://schemas.openxmlformats.org/officeDocument/2006/relationships/hyperlink" Target="https://youtu.be/nc6pAci8Tpg" TargetMode="External"/><Relationship Id="rId261" Type="http://schemas.openxmlformats.org/officeDocument/2006/relationships/hyperlink" Target="https://youtu.be/Ma99aw-VDJQ" TargetMode="External"/><Relationship Id="rId499" Type="http://schemas.openxmlformats.org/officeDocument/2006/relationships/hyperlink" Target="https://youtu.be/7GvY7yTEepM" TargetMode="External"/><Relationship Id="rId56" Type="http://schemas.openxmlformats.org/officeDocument/2006/relationships/hyperlink" Target="https://youtu.be/5KX0EjOTMaI" TargetMode="External"/><Relationship Id="rId359" Type="http://schemas.openxmlformats.org/officeDocument/2006/relationships/hyperlink" Target="https://youtu.be/G7bonPtkitM" TargetMode="External"/><Relationship Id="rId566" Type="http://schemas.openxmlformats.org/officeDocument/2006/relationships/hyperlink" Target="https://youtu.be/UGwmUJkTIx8" TargetMode="External"/><Relationship Id="rId773" Type="http://schemas.openxmlformats.org/officeDocument/2006/relationships/hyperlink" Target="https://youtu.be/STZ3Twq5fgc" TargetMode="External"/><Relationship Id="rId121" Type="http://schemas.openxmlformats.org/officeDocument/2006/relationships/hyperlink" Target="https://youtu.be/wSHxfQJe1ic" TargetMode="External"/><Relationship Id="rId219" Type="http://schemas.openxmlformats.org/officeDocument/2006/relationships/hyperlink" Target="https://youtu.be/nc6pAci8Tpg" TargetMode="External"/><Relationship Id="rId426" Type="http://schemas.openxmlformats.org/officeDocument/2006/relationships/hyperlink" Target="https://youtu.be/5KX0EjOTMaI" TargetMode="External"/><Relationship Id="rId633" Type="http://schemas.openxmlformats.org/officeDocument/2006/relationships/hyperlink" Target="https://youtu.be/CaryZp20CuI" TargetMode="External"/><Relationship Id="rId840" Type="http://schemas.openxmlformats.org/officeDocument/2006/relationships/hyperlink" Target="https://youtu.be/cJ8JrXUQ3xQ" TargetMode="External"/><Relationship Id="rId67" Type="http://schemas.openxmlformats.org/officeDocument/2006/relationships/hyperlink" Target="https://youtu.be/_KI-O0zMv60" TargetMode="External"/><Relationship Id="rId272" Type="http://schemas.openxmlformats.org/officeDocument/2006/relationships/hyperlink" Target="https://youtu.be/-mcxziH_KdM" TargetMode="External"/><Relationship Id="rId577" Type="http://schemas.openxmlformats.org/officeDocument/2006/relationships/hyperlink" Target="https://youtu.be/AS4FeNiHyKg" TargetMode="External"/><Relationship Id="rId700" Type="http://schemas.openxmlformats.org/officeDocument/2006/relationships/hyperlink" Target="https://youtu.be/LvJM9V3D_CQ" TargetMode="External"/><Relationship Id="rId132" Type="http://schemas.openxmlformats.org/officeDocument/2006/relationships/hyperlink" Target="https://youtu.be/J0l0qQCy80Q" TargetMode="External"/><Relationship Id="rId784" Type="http://schemas.openxmlformats.org/officeDocument/2006/relationships/hyperlink" Target="https://youtu.be/8RwbLtfLu6A" TargetMode="External"/><Relationship Id="rId437" Type="http://schemas.openxmlformats.org/officeDocument/2006/relationships/hyperlink" Target="https://youtu.be/_KI-O0zMv60" TargetMode="External"/><Relationship Id="rId644" Type="http://schemas.openxmlformats.org/officeDocument/2006/relationships/hyperlink" Target="https://youtu.be/_w_Uan2dG-4" TargetMode="External"/><Relationship Id="rId851" Type="http://schemas.openxmlformats.org/officeDocument/2006/relationships/hyperlink" Target="https://youtu.be/G0_M9LBCT0o" TargetMode="External"/><Relationship Id="rId283" Type="http://schemas.openxmlformats.org/officeDocument/2006/relationships/hyperlink" Target="https://youtu.be/FGJ64JyKod0" TargetMode="External"/><Relationship Id="rId490" Type="http://schemas.openxmlformats.org/officeDocument/2006/relationships/hyperlink" Target="https://youtu.be/ksBaBSfmZf4" TargetMode="External"/><Relationship Id="rId504" Type="http://schemas.openxmlformats.org/officeDocument/2006/relationships/hyperlink" Target="https://youtu.be/sInGFVj-bJA" TargetMode="External"/><Relationship Id="rId711" Type="http://schemas.openxmlformats.org/officeDocument/2006/relationships/hyperlink" Target="https://youtu.be/1Rr1-FW6ZJs" TargetMode="External"/><Relationship Id="rId78" Type="http://schemas.openxmlformats.org/officeDocument/2006/relationships/hyperlink" Target="https://youtu.be/ad0NL7TH2-I" TargetMode="External"/><Relationship Id="rId143" Type="http://schemas.openxmlformats.org/officeDocument/2006/relationships/hyperlink" Target="https://youtu.be/UvxrIuG-Xeg" TargetMode="External"/><Relationship Id="rId350" Type="http://schemas.openxmlformats.org/officeDocument/2006/relationships/hyperlink" Target="https://youtu.be/vneVQlN7LR4" TargetMode="External"/><Relationship Id="rId588" Type="http://schemas.openxmlformats.org/officeDocument/2006/relationships/hyperlink" Target="https://youtu.be/wXjPZdhUzBQ" TargetMode="External"/><Relationship Id="rId795" Type="http://schemas.openxmlformats.org/officeDocument/2006/relationships/hyperlink" Target="https://youtu.be/7GvY7yTEepM" TargetMode="External"/><Relationship Id="rId809" Type="http://schemas.openxmlformats.org/officeDocument/2006/relationships/hyperlink" Target="https://youtu.be/UvxrIuG-Xeg" TargetMode="External"/><Relationship Id="rId9" Type="http://schemas.openxmlformats.org/officeDocument/2006/relationships/hyperlink" Target="https://youtu.be/nc6pAci8Tpg" TargetMode="External"/><Relationship Id="rId210" Type="http://schemas.openxmlformats.org/officeDocument/2006/relationships/hyperlink" Target="https://youtu.be/BRueufxDP2Q" TargetMode="External"/><Relationship Id="rId448" Type="http://schemas.openxmlformats.org/officeDocument/2006/relationships/hyperlink" Target="https://youtu.be/ad0NL7TH2-I" TargetMode="External"/><Relationship Id="rId655" Type="http://schemas.openxmlformats.org/officeDocument/2006/relationships/hyperlink" Target="https://youtu.be/G7bonPtkitM" TargetMode="External"/><Relationship Id="rId862" Type="http://schemas.openxmlformats.org/officeDocument/2006/relationships/hyperlink" Target="https://youtu.be/UGwmUJkTIx8" TargetMode="External"/><Relationship Id="rId294" Type="http://schemas.openxmlformats.org/officeDocument/2006/relationships/hyperlink" Target="https://youtu.be/DX1WzS7k0Uc" TargetMode="External"/><Relationship Id="rId308" Type="http://schemas.openxmlformats.org/officeDocument/2006/relationships/hyperlink" Target="https://youtu.be/01pnZt1uVFI" TargetMode="External"/><Relationship Id="rId515" Type="http://schemas.openxmlformats.org/officeDocument/2006/relationships/hyperlink" Target="https://youtu.be/nc6pAci8Tpg" TargetMode="External"/><Relationship Id="rId722" Type="http://schemas.openxmlformats.org/officeDocument/2006/relationships/hyperlink" Target="https://youtu.be/5KX0EjOTMaI" TargetMode="External"/><Relationship Id="rId89" Type="http://schemas.openxmlformats.org/officeDocument/2006/relationships/hyperlink" Target="https://youtu.be/LC9SO-pIXqA" TargetMode="External"/><Relationship Id="rId154" Type="http://schemas.openxmlformats.org/officeDocument/2006/relationships/hyperlink" Target="https://youtu.be/dhSKkQdUzoA" TargetMode="External"/><Relationship Id="rId361" Type="http://schemas.openxmlformats.org/officeDocument/2006/relationships/hyperlink" Target="https://youtu.be/S9NEwbiYEBE" TargetMode="External"/><Relationship Id="rId599" Type="http://schemas.openxmlformats.org/officeDocument/2006/relationships/hyperlink" Target="https://youtu.be/xaOQJjzNrd8" TargetMode="External"/><Relationship Id="rId459" Type="http://schemas.openxmlformats.org/officeDocument/2006/relationships/hyperlink" Target="https://youtu.be/LC9SO-pIXqA" TargetMode="External"/><Relationship Id="rId666" Type="http://schemas.openxmlformats.org/officeDocument/2006/relationships/hyperlink" Target="https://youtu.be/5M8uPbfQsbg" TargetMode="External"/><Relationship Id="rId873" Type="http://schemas.openxmlformats.org/officeDocument/2006/relationships/hyperlink" Target="https://youtu.be/AS4FeNiHyKg" TargetMode="External"/><Relationship Id="rId16" Type="http://schemas.openxmlformats.org/officeDocument/2006/relationships/hyperlink" Target="https://youtu.be/7l859qd4E48" TargetMode="External"/><Relationship Id="rId221" Type="http://schemas.openxmlformats.org/officeDocument/2006/relationships/hyperlink" Target="https://youtu.be/Z8OrSIk_574" TargetMode="External"/><Relationship Id="rId319" Type="http://schemas.openxmlformats.org/officeDocument/2006/relationships/hyperlink" Target="https://youtu.be/CQDTdasj9BA" TargetMode="External"/><Relationship Id="rId526" Type="http://schemas.openxmlformats.org/officeDocument/2006/relationships/hyperlink" Target="https://youtu.be/xxnjF6ljHmg" TargetMode="External"/><Relationship Id="rId733" Type="http://schemas.openxmlformats.org/officeDocument/2006/relationships/hyperlink" Target="https://youtu.be/_KI-O0zMv60" TargetMode="External"/><Relationship Id="rId165" Type="http://schemas.openxmlformats.org/officeDocument/2006/relationships/hyperlink" Target="https://youtu.be/3DnqKKfz6wY" TargetMode="External"/><Relationship Id="rId372" Type="http://schemas.openxmlformats.org/officeDocument/2006/relationships/hyperlink" Target="https://youtu.be/oWJBLChYZOQ" TargetMode="External"/><Relationship Id="rId677" Type="http://schemas.openxmlformats.org/officeDocument/2006/relationships/hyperlink" Target="https://youtu.be/nDl3VjkLPQE" TargetMode="External"/><Relationship Id="rId800" Type="http://schemas.openxmlformats.org/officeDocument/2006/relationships/hyperlink" Target="https://youtu.be/sInGFVj-bJA" TargetMode="External"/><Relationship Id="rId232" Type="http://schemas.openxmlformats.org/officeDocument/2006/relationships/hyperlink" Target="https://youtu.be/oB27u_w3pX4" TargetMode="External"/><Relationship Id="rId884" Type="http://schemas.openxmlformats.org/officeDocument/2006/relationships/hyperlink" Target="https://youtu.be/wXjPZdhUzBQ" TargetMode="External"/><Relationship Id="rId27" Type="http://schemas.openxmlformats.org/officeDocument/2006/relationships/hyperlink" Target="https://youtu.be/qmyToaabqdQ" TargetMode="External"/><Relationship Id="rId537" Type="http://schemas.openxmlformats.org/officeDocument/2006/relationships/hyperlink" Target="https://youtu.be/-FAxUZoPDc4" TargetMode="External"/><Relationship Id="rId744" Type="http://schemas.openxmlformats.org/officeDocument/2006/relationships/hyperlink" Target="https://youtu.be/ad0NL7TH2-I" TargetMode="External"/><Relationship Id="rId80" Type="http://schemas.openxmlformats.org/officeDocument/2006/relationships/hyperlink" Target="https://youtu.be/dhSKkQdUzoA" TargetMode="External"/><Relationship Id="rId176" Type="http://schemas.openxmlformats.org/officeDocument/2006/relationships/hyperlink" Target="https://youtu.be/DX1WzS7k0Uc" TargetMode="External"/><Relationship Id="rId383" Type="http://schemas.openxmlformats.org/officeDocument/2006/relationships/hyperlink" Target="https://youtu.be/WMkCGNwo5ts" TargetMode="External"/><Relationship Id="rId590" Type="http://schemas.openxmlformats.org/officeDocument/2006/relationships/hyperlink" Target="https://youtu.be/DX1WzS7k0Uc" TargetMode="External"/><Relationship Id="rId604" Type="http://schemas.openxmlformats.org/officeDocument/2006/relationships/hyperlink" Target="https://youtu.be/01pnZt1uVFI" TargetMode="External"/><Relationship Id="rId811" Type="http://schemas.openxmlformats.org/officeDocument/2006/relationships/hyperlink" Target="https://youtu.be/nc6pAci8Tpg" TargetMode="External"/><Relationship Id="rId243" Type="http://schemas.openxmlformats.org/officeDocument/2006/relationships/hyperlink" Target="https://youtu.be/Cmcv44jiQd0" TargetMode="External"/><Relationship Id="rId450" Type="http://schemas.openxmlformats.org/officeDocument/2006/relationships/hyperlink" Target="https://youtu.be/dhSKkQdUzoA" TargetMode="External"/><Relationship Id="rId688" Type="http://schemas.openxmlformats.org/officeDocument/2006/relationships/hyperlink" Target="https://youtu.be/2KDc6iAcrAw" TargetMode="External"/><Relationship Id="rId895" Type="http://schemas.openxmlformats.org/officeDocument/2006/relationships/hyperlink" Target="https://youtu.be/v3N4tpPpmyQ" TargetMode="External"/><Relationship Id="rId909" Type="http://schemas.openxmlformats.org/officeDocument/2006/relationships/table" Target="../tables/table7.xml"/><Relationship Id="rId38" Type="http://schemas.openxmlformats.org/officeDocument/2006/relationships/hyperlink" Target="https://youtu.be/aHS9tKzJXik" TargetMode="External"/><Relationship Id="rId103" Type="http://schemas.openxmlformats.org/officeDocument/2006/relationships/hyperlink" Target="https://youtu.be/Z8OrSIk_574" TargetMode="External"/><Relationship Id="rId310" Type="http://schemas.openxmlformats.org/officeDocument/2006/relationships/hyperlink" Target="https://youtu.be/-mcxziH_KdM" TargetMode="External"/><Relationship Id="rId548" Type="http://schemas.openxmlformats.org/officeDocument/2006/relationships/hyperlink" Target="https://youtu.be/nc6pAci8Tpg" TargetMode="External"/><Relationship Id="rId755" Type="http://schemas.openxmlformats.org/officeDocument/2006/relationships/hyperlink" Target="https://youtu.be/LC9SO-pIXqA" TargetMode="External"/><Relationship Id="rId91" Type="http://schemas.openxmlformats.org/officeDocument/2006/relationships/hyperlink" Target="https://youtu.be/3DnqKKfz6wY" TargetMode="External"/><Relationship Id="rId187" Type="http://schemas.openxmlformats.org/officeDocument/2006/relationships/hyperlink" Target="https://youtu.be/Ma99aw-VDJQ" TargetMode="External"/><Relationship Id="rId394" Type="http://schemas.openxmlformats.org/officeDocument/2006/relationships/hyperlink" Target="https://youtu.be/0EqU6-o3PAw" TargetMode="External"/><Relationship Id="rId408" Type="http://schemas.openxmlformats.org/officeDocument/2006/relationships/hyperlink" Target="https://youtu.be/aHS9tKzJXik" TargetMode="External"/><Relationship Id="rId615" Type="http://schemas.openxmlformats.org/officeDocument/2006/relationships/hyperlink" Target="https://youtu.be/CQDTdasj9BA" TargetMode="External"/><Relationship Id="rId822" Type="http://schemas.openxmlformats.org/officeDocument/2006/relationships/hyperlink" Target="https://youtu.be/xxnjF6ljHmg" TargetMode="External"/><Relationship Id="rId254" Type="http://schemas.openxmlformats.org/officeDocument/2006/relationships/hyperlink" Target="https://youtu.be/MXGZHJFQ9bE" TargetMode="External"/><Relationship Id="rId699" Type="http://schemas.openxmlformats.org/officeDocument/2006/relationships/hyperlink" Target="https://youtu.be/STZ3Twq5fgc" TargetMode="External"/><Relationship Id="rId49" Type="http://schemas.openxmlformats.org/officeDocument/2006/relationships/hyperlink" Target="https://youtu.be/WMkCGNwo5ts" TargetMode="External"/><Relationship Id="rId114" Type="http://schemas.openxmlformats.org/officeDocument/2006/relationships/hyperlink" Target="https://youtu.be/xbnan2iNh-Q" TargetMode="External"/><Relationship Id="rId461" Type="http://schemas.openxmlformats.org/officeDocument/2006/relationships/hyperlink" Target="https://youtu.be/3DnqKKfz6wY" TargetMode="External"/><Relationship Id="rId559" Type="http://schemas.openxmlformats.org/officeDocument/2006/relationships/hyperlink" Target="https://youtu.be/CaryZp20CuI" TargetMode="External"/><Relationship Id="rId766" Type="http://schemas.openxmlformats.org/officeDocument/2006/relationships/hyperlink" Target="https://youtu.be/cJ8JrXUQ3xQ" TargetMode="External"/><Relationship Id="rId198" Type="http://schemas.openxmlformats.org/officeDocument/2006/relationships/hyperlink" Target="https://youtu.be/-mcxziH_KdM" TargetMode="External"/><Relationship Id="rId321" Type="http://schemas.openxmlformats.org/officeDocument/2006/relationships/hyperlink" Target="https://youtu.be/qTSTOVVr8rU" TargetMode="External"/><Relationship Id="rId419" Type="http://schemas.openxmlformats.org/officeDocument/2006/relationships/hyperlink" Target="https://youtu.be/WMkCGNwo5ts" TargetMode="External"/><Relationship Id="rId626" Type="http://schemas.openxmlformats.org/officeDocument/2006/relationships/hyperlink" Target="https://youtu.be/LvJM9V3D_CQ" TargetMode="External"/><Relationship Id="rId833" Type="http://schemas.openxmlformats.org/officeDocument/2006/relationships/hyperlink" Target="https://youtu.be/-FAxUZoPDc4" TargetMode="External"/><Relationship Id="rId265" Type="http://schemas.openxmlformats.org/officeDocument/2006/relationships/hyperlink" Target="https://youtu.be/ELgSmlwFsFQ" TargetMode="External"/><Relationship Id="rId472" Type="http://schemas.openxmlformats.org/officeDocument/2006/relationships/hyperlink" Target="https://youtu.be/DX1WzS7k0Uc" TargetMode="External"/><Relationship Id="rId900" Type="http://schemas.openxmlformats.org/officeDocument/2006/relationships/hyperlink" Target="https://youtu.be/v3N4tpPpmyQ" TargetMode="External"/><Relationship Id="rId125" Type="http://schemas.openxmlformats.org/officeDocument/2006/relationships/hyperlink" Target="https://youtu.be/LC9SO-pIXqA" TargetMode="External"/><Relationship Id="rId332" Type="http://schemas.openxmlformats.org/officeDocument/2006/relationships/hyperlink" Target="https://youtu.be/KlxdhDSi5Dc" TargetMode="External"/><Relationship Id="rId777" Type="http://schemas.openxmlformats.org/officeDocument/2006/relationships/hyperlink" Target="https://youtu.be/G0_M9LBCT0o" TargetMode="External"/><Relationship Id="rId637" Type="http://schemas.openxmlformats.org/officeDocument/2006/relationships/hyperlink" Target="https://youtu.be/1Rr1-FW6ZJs" TargetMode="External"/><Relationship Id="rId844" Type="http://schemas.openxmlformats.org/officeDocument/2006/relationships/hyperlink" Target="https://youtu.be/nc6pAci8Tpg" TargetMode="External"/><Relationship Id="rId276" Type="http://schemas.openxmlformats.org/officeDocument/2006/relationships/hyperlink" Target="https://youtu.be/vneVQlN7LR4" TargetMode="External"/><Relationship Id="rId483" Type="http://schemas.openxmlformats.org/officeDocument/2006/relationships/hyperlink" Target="https://youtu.be/Ma99aw-VDJQ" TargetMode="External"/><Relationship Id="rId690" Type="http://schemas.openxmlformats.org/officeDocument/2006/relationships/hyperlink" Target="https://youtu.be/0EqU6-o3PAw" TargetMode="External"/><Relationship Id="rId704" Type="http://schemas.openxmlformats.org/officeDocument/2006/relationships/hyperlink" Target="https://youtu.be/aHS9tKzJXik" TargetMode="External"/><Relationship Id="rId911" Type="http://schemas.openxmlformats.org/officeDocument/2006/relationships/table" Target="../tables/table9.xml"/><Relationship Id="rId40" Type="http://schemas.openxmlformats.org/officeDocument/2006/relationships/hyperlink" Target="https://youtu.be/xbnan2iNh-Q" TargetMode="External"/><Relationship Id="rId136" Type="http://schemas.openxmlformats.org/officeDocument/2006/relationships/hyperlink" Target="https://youtu.be/BRueufxDP2Q" TargetMode="External"/><Relationship Id="rId343" Type="http://schemas.openxmlformats.org/officeDocument/2006/relationships/hyperlink" Target="https://youtu.be/wSHxfQJe1ic" TargetMode="External"/><Relationship Id="rId550" Type="http://schemas.openxmlformats.org/officeDocument/2006/relationships/hyperlink" Target="https://youtu.be/MXGZHJFQ9bE" TargetMode="External"/><Relationship Id="rId788" Type="http://schemas.openxmlformats.org/officeDocument/2006/relationships/hyperlink" Target="https://youtu.be/UGwmUJkTIx8" TargetMode="External"/><Relationship Id="rId203" Type="http://schemas.openxmlformats.org/officeDocument/2006/relationships/hyperlink" Target="https://youtu.be/7GvY7yTEepM" TargetMode="External"/><Relationship Id="rId648" Type="http://schemas.openxmlformats.org/officeDocument/2006/relationships/hyperlink" Target="https://youtu.be/5KX0EjOTMaI" TargetMode="External"/><Relationship Id="rId855" Type="http://schemas.openxmlformats.org/officeDocument/2006/relationships/hyperlink" Target="https://youtu.be/CaryZp20CuI" TargetMode="External"/><Relationship Id="rId287" Type="http://schemas.openxmlformats.org/officeDocument/2006/relationships/hyperlink" Target="https://youtu.be/S9NEwbiYEBE" TargetMode="External"/><Relationship Id="rId410" Type="http://schemas.openxmlformats.org/officeDocument/2006/relationships/hyperlink" Target="https://youtu.be/xbnan2iNh-Q" TargetMode="External"/><Relationship Id="rId494" Type="http://schemas.openxmlformats.org/officeDocument/2006/relationships/hyperlink" Target="https://youtu.be/-mcxziH_KdM" TargetMode="External"/><Relationship Id="rId508" Type="http://schemas.openxmlformats.org/officeDocument/2006/relationships/hyperlink" Target="https://youtu.be/HJx1sIZKDqk" TargetMode="External"/><Relationship Id="rId715" Type="http://schemas.openxmlformats.org/officeDocument/2006/relationships/hyperlink" Target="https://youtu.be/WMkCGNwo5ts" TargetMode="External"/><Relationship Id="rId147" Type="http://schemas.openxmlformats.org/officeDocument/2006/relationships/hyperlink" Target="https://youtu.be/Z8OrSIk_574" TargetMode="External"/><Relationship Id="rId354" Type="http://schemas.openxmlformats.org/officeDocument/2006/relationships/hyperlink" Target="https://youtu.be/J0l0qQCy80Q" TargetMode="External"/><Relationship Id="rId799" Type="http://schemas.openxmlformats.org/officeDocument/2006/relationships/hyperlink" Target="https://youtu.be/AS4FeNiHyKg" TargetMode="External"/><Relationship Id="rId51" Type="http://schemas.openxmlformats.org/officeDocument/2006/relationships/hyperlink" Target="https://youtu.be/LC9SO-pIXqA" TargetMode="External"/><Relationship Id="rId561" Type="http://schemas.openxmlformats.org/officeDocument/2006/relationships/hyperlink" Target="https://youtu.be/ELgSmlwFsFQ" TargetMode="External"/><Relationship Id="rId659" Type="http://schemas.openxmlformats.org/officeDocument/2006/relationships/hyperlink" Target="https://youtu.be/_KI-O0zMv60" TargetMode="External"/><Relationship Id="rId866" Type="http://schemas.openxmlformats.org/officeDocument/2006/relationships/hyperlink" Target="https://youtu.be/_w_Uan2dG-4" TargetMode="External"/><Relationship Id="rId214" Type="http://schemas.openxmlformats.org/officeDocument/2006/relationships/hyperlink" Target="https://youtu.be/uCAoI5FnLhs" TargetMode="External"/><Relationship Id="rId298" Type="http://schemas.openxmlformats.org/officeDocument/2006/relationships/hyperlink" Target="https://youtu.be/oWJBLChYZOQ" TargetMode="External"/><Relationship Id="rId421" Type="http://schemas.openxmlformats.org/officeDocument/2006/relationships/hyperlink" Target="https://youtu.be/LC9SO-pIXqA" TargetMode="External"/><Relationship Id="rId519" Type="http://schemas.openxmlformats.org/officeDocument/2006/relationships/hyperlink" Target="https://youtu.be/y28L1m1PYUQ" TargetMode="External"/><Relationship Id="rId158" Type="http://schemas.openxmlformats.org/officeDocument/2006/relationships/hyperlink" Target="https://youtu.be/oB27u_w3pX4" TargetMode="External"/><Relationship Id="rId726" Type="http://schemas.openxmlformats.org/officeDocument/2006/relationships/hyperlink" Target="https://youtu.be/sInGFVj-bJA" TargetMode="External"/><Relationship Id="rId62" Type="http://schemas.openxmlformats.org/officeDocument/2006/relationships/hyperlink" Target="https://youtu.be/BRueufxDP2Q" TargetMode="External"/><Relationship Id="rId365" Type="http://schemas.openxmlformats.org/officeDocument/2006/relationships/hyperlink" Target="https://youtu.be/UvxrIuG-Xeg" TargetMode="External"/><Relationship Id="rId572" Type="http://schemas.openxmlformats.org/officeDocument/2006/relationships/hyperlink" Target="https://youtu.be/vneVQlN7LR4" TargetMode="External"/><Relationship Id="rId225" Type="http://schemas.openxmlformats.org/officeDocument/2006/relationships/hyperlink" Target="https://youtu.be/UbNb5Tsl46c" TargetMode="External"/><Relationship Id="rId432" Type="http://schemas.openxmlformats.org/officeDocument/2006/relationships/hyperlink" Target="https://youtu.be/BRueufxDP2Q" TargetMode="External"/><Relationship Id="rId877" Type="http://schemas.openxmlformats.org/officeDocument/2006/relationships/hyperlink" Target="https://youtu.be/G7bonPtkitM" TargetMode="External"/><Relationship Id="rId737" Type="http://schemas.openxmlformats.org/officeDocument/2006/relationships/hyperlink" Target="https://youtu.be/nc6pAci8Tpg" TargetMode="External"/><Relationship Id="rId73" Type="http://schemas.openxmlformats.org/officeDocument/2006/relationships/hyperlink" Target="https://youtu.be/Z8OrSIk_574" TargetMode="External"/><Relationship Id="rId169" Type="http://schemas.openxmlformats.org/officeDocument/2006/relationships/hyperlink" Target="https://youtu.be/Cmcv44jiQd0" TargetMode="External"/><Relationship Id="rId376" Type="http://schemas.openxmlformats.org/officeDocument/2006/relationships/hyperlink" Target="https://youtu.be/dhSKkQdUzoA" TargetMode="External"/><Relationship Id="rId583" Type="http://schemas.openxmlformats.org/officeDocument/2006/relationships/hyperlink" Target="https://youtu.be/S9NEwbiYEBE" TargetMode="External"/><Relationship Id="rId790" Type="http://schemas.openxmlformats.org/officeDocument/2006/relationships/hyperlink" Target="https://youtu.be/-mcxziH_KdM" TargetMode="External"/><Relationship Id="rId804" Type="http://schemas.openxmlformats.org/officeDocument/2006/relationships/hyperlink" Target="https://youtu.be/HJx1sIZKDqk" TargetMode="External"/><Relationship Id="rId4" Type="http://schemas.openxmlformats.org/officeDocument/2006/relationships/hyperlink" Target="https://youtu.be/ad0NL7TH2-I" TargetMode="External"/><Relationship Id="rId236" Type="http://schemas.openxmlformats.org/officeDocument/2006/relationships/hyperlink" Target="https://youtu.be/-mcxziH_KdM" TargetMode="External"/><Relationship Id="rId443" Type="http://schemas.openxmlformats.org/officeDocument/2006/relationships/hyperlink" Target="https://youtu.be/Z8OrSIk_574" TargetMode="External"/><Relationship Id="rId650" Type="http://schemas.openxmlformats.org/officeDocument/2006/relationships/hyperlink" Target="https://youtu.be/J0l0qQCy80Q" TargetMode="External"/><Relationship Id="rId888" Type="http://schemas.openxmlformats.org/officeDocument/2006/relationships/hyperlink" Target="https://youtu.be/5M8uPbfQsbg" TargetMode="External"/><Relationship Id="rId303" Type="http://schemas.openxmlformats.org/officeDocument/2006/relationships/hyperlink" Target="https://youtu.be/xaOQJjzNrd8" TargetMode="External"/><Relationship Id="rId748" Type="http://schemas.openxmlformats.org/officeDocument/2006/relationships/hyperlink" Target="https://youtu.be/xxnjF6ljHmg" TargetMode="External"/><Relationship Id="rId84" Type="http://schemas.openxmlformats.org/officeDocument/2006/relationships/hyperlink" Target="https://youtu.be/oB27u_w3pX4" TargetMode="External"/><Relationship Id="rId387" Type="http://schemas.openxmlformats.org/officeDocument/2006/relationships/hyperlink" Target="https://youtu.be/3DnqKKfz6wY" TargetMode="External"/><Relationship Id="rId510" Type="http://schemas.openxmlformats.org/officeDocument/2006/relationships/hyperlink" Target="https://youtu.be/uCAoI5FnLhs" TargetMode="External"/><Relationship Id="rId594" Type="http://schemas.openxmlformats.org/officeDocument/2006/relationships/hyperlink" Target="https://youtu.be/oWJBLChYZOQ" TargetMode="External"/><Relationship Id="rId608" Type="http://schemas.openxmlformats.org/officeDocument/2006/relationships/hyperlink" Target="https://youtu.be/7l859qd4E48" TargetMode="External"/><Relationship Id="rId815" Type="http://schemas.openxmlformats.org/officeDocument/2006/relationships/hyperlink" Target="https://youtu.be/y28L1m1PYUQ" TargetMode="External"/><Relationship Id="rId247" Type="http://schemas.openxmlformats.org/officeDocument/2006/relationships/hyperlink" Target="https://youtu.be/qTSTOVVr8rU" TargetMode="External"/><Relationship Id="rId899" Type="http://schemas.openxmlformats.org/officeDocument/2006/relationships/hyperlink" Target="https://youtu.be/v3N4tpPpmyQ" TargetMode="External"/><Relationship Id="rId107" Type="http://schemas.openxmlformats.org/officeDocument/2006/relationships/hyperlink" Target="https://youtu.be/STZ3Twq5fgc" TargetMode="External"/><Relationship Id="rId454" Type="http://schemas.openxmlformats.org/officeDocument/2006/relationships/hyperlink" Target="https://youtu.be/oB27u_w3pX4" TargetMode="External"/><Relationship Id="rId661" Type="http://schemas.openxmlformats.org/officeDocument/2006/relationships/hyperlink" Target="https://youtu.be/UvxrIuG-Xeg" TargetMode="External"/><Relationship Id="rId759" Type="http://schemas.openxmlformats.org/officeDocument/2006/relationships/hyperlink" Target="https://youtu.be/-FAxUZoPDc4" TargetMode="External"/><Relationship Id="rId11" Type="http://schemas.openxmlformats.org/officeDocument/2006/relationships/hyperlink" Target="https://youtu.be/nDl3VjkLPQE" TargetMode="External"/><Relationship Id="rId314" Type="http://schemas.openxmlformats.org/officeDocument/2006/relationships/hyperlink" Target="https://youtu.be/01pnZt1uVFI" TargetMode="External"/><Relationship Id="rId398" Type="http://schemas.openxmlformats.org/officeDocument/2006/relationships/hyperlink" Target="https://youtu.be/DX1WzS7k0Uc" TargetMode="External"/><Relationship Id="rId521" Type="http://schemas.openxmlformats.org/officeDocument/2006/relationships/hyperlink" Target="https://youtu.be/UbNb5Tsl46c" TargetMode="External"/><Relationship Id="rId619" Type="http://schemas.openxmlformats.org/officeDocument/2006/relationships/hyperlink" Target="https://youtu.be/qmyToaabqdQ" TargetMode="External"/><Relationship Id="rId95" Type="http://schemas.openxmlformats.org/officeDocument/2006/relationships/hyperlink" Target="https://youtu.be/Cmcv44jiQd0" TargetMode="External"/><Relationship Id="rId160" Type="http://schemas.openxmlformats.org/officeDocument/2006/relationships/hyperlink" Target="https://youtu.be/01pnZt1uVFI" TargetMode="External"/><Relationship Id="rId826" Type="http://schemas.openxmlformats.org/officeDocument/2006/relationships/hyperlink" Target="https://youtu.be/01pnZt1uVFI" TargetMode="External"/><Relationship Id="rId258" Type="http://schemas.openxmlformats.org/officeDocument/2006/relationships/hyperlink" Target="https://youtu.be/KlxdhDSi5Dc" TargetMode="External"/><Relationship Id="rId465" Type="http://schemas.openxmlformats.org/officeDocument/2006/relationships/hyperlink" Target="https://youtu.be/Cmcv44jiQd0" TargetMode="External"/><Relationship Id="rId672" Type="http://schemas.openxmlformats.org/officeDocument/2006/relationships/hyperlink" Target="https://youtu.be/dhSKkQdUzoA" TargetMode="External"/><Relationship Id="rId22" Type="http://schemas.openxmlformats.org/officeDocument/2006/relationships/hyperlink" Target="https://youtu.be/2KDc6iAcrAw" TargetMode="External"/><Relationship Id="rId118" Type="http://schemas.openxmlformats.org/officeDocument/2006/relationships/hyperlink" Target="https://youtu.be/8RwbLtfLu6A" TargetMode="External"/><Relationship Id="rId325" Type="http://schemas.openxmlformats.org/officeDocument/2006/relationships/hyperlink" Target="https://youtu.be/Z8OrSIk_574" TargetMode="External"/><Relationship Id="rId532" Type="http://schemas.openxmlformats.org/officeDocument/2006/relationships/hyperlink" Target="https://youtu.be/-mcxziH_KdM" TargetMode="External"/><Relationship Id="rId171" Type="http://schemas.openxmlformats.org/officeDocument/2006/relationships/hyperlink" Target="https://youtu.be/CQDTdasj9BA" TargetMode="External"/><Relationship Id="rId837" Type="http://schemas.openxmlformats.org/officeDocument/2006/relationships/hyperlink" Target="https://youtu.be/CQDTdasj9BA" TargetMode="External"/><Relationship Id="rId269" Type="http://schemas.openxmlformats.org/officeDocument/2006/relationships/hyperlink" Target="https://youtu.be/wSHxfQJe1ic" TargetMode="External"/><Relationship Id="rId476" Type="http://schemas.openxmlformats.org/officeDocument/2006/relationships/hyperlink" Target="https://youtu.be/MXGZHJFQ9bE" TargetMode="External"/><Relationship Id="rId683" Type="http://schemas.openxmlformats.org/officeDocument/2006/relationships/hyperlink" Target="https://youtu.be/3DnqKKfz6wY" TargetMode="External"/><Relationship Id="rId890" Type="http://schemas.openxmlformats.org/officeDocument/2006/relationships/hyperlink" Target="https://youtu.be/v3N4tpPpmyQ" TargetMode="External"/><Relationship Id="rId904" Type="http://schemas.openxmlformats.org/officeDocument/2006/relationships/table" Target="../tables/table2.xml"/><Relationship Id="rId33" Type="http://schemas.openxmlformats.org/officeDocument/2006/relationships/hyperlink" Target="https://youtu.be/STZ3Twq5fgc" TargetMode="External"/><Relationship Id="rId129" Type="http://schemas.openxmlformats.org/officeDocument/2006/relationships/hyperlink" Target="https://youtu.be/7GvY7yTEepM" TargetMode="External"/><Relationship Id="rId336" Type="http://schemas.openxmlformats.org/officeDocument/2006/relationships/hyperlink" Target="https://youtu.be/xbnan2iNh-Q" TargetMode="External"/><Relationship Id="rId543" Type="http://schemas.openxmlformats.org/officeDocument/2006/relationships/hyperlink" Target="https://youtu.be/qTSTOVVr8rU" TargetMode="External"/><Relationship Id="rId182" Type="http://schemas.openxmlformats.org/officeDocument/2006/relationships/hyperlink" Target="https://youtu.be/LvJM9V3D_CQ" TargetMode="External"/><Relationship Id="rId403" Type="http://schemas.openxmlformats.org/officeDocument/2006/relationships/hyperlink" Target="https://youtu.be/STZ3Twq5fgc" TargetMode="External"/><Relationship Id="rId750" Type="http://schemas.openxmlformats.org/officeDocument/2006/relationships/hyperlink" Target="https://youtu.be/oB27u_w3pX4" TargetMode="External"/><Relationship Id="rId848" Type="http://schemas.openxmlformats.org/officeDocument/2006/relationships/hyperlink" Target="https://youtu.be/LvJM9V3D_CQ" TargetMode="External"/><Relationship Id="rId487" Type="http://schemas.openxmlformats.org/officeDocument/2006/relationships/hyperlink" Target="https://youtu.be/ELgSmlwFsFQ" TargetMode="External"/><Relationship Id="rId610" Type="http://schemas.openxmlformats.org/officeDocument/2006/relationships/hyperlink" Target="https://youtu.be/01pnZt1uVFI" TargetMode="External"/><Relationship Id="rId694" Type="http://schemas.openxmlformats.org/officeDocument/2006/relationships/hyperlink" Target="https://youtu.be/DX1WzS7k0Uc" TargetMode="External"/><Relationship Id="rId708" Type="http://schemas.openxmlformats.org/officeDocument/2006/relationships/hyperlink" Target="https://youtu.be/FCe6PIQbB-s" TargetMode="External"/><Relationship Id="rId915" Type="http://schemas.openxmlformats.org/officeDocument/2006/relationships/table" Target="../tables/table13.xml"/><Relationship Id="rId347" Type="http://schemas.openxmlformats.org/officeDocument/2006/relationships/hyperlink" Target="https://youtu.be/LC9SO-pIXqA" TargetMode="External"/><Relationship Id="rId44" Type="http://schemas.openxmlformats.org/officeDocument/2006/relationships/hyperlink" Target="https://youtu.be/8RwbLtfLu6A" TargetMode="External"/><Relationship Id="rId554" Type="http://schemas.openxmlformats.org/officeDocument/2006/relationships/hyperlink" Target="https://youtu.be/KlxdhDSi5Dc" TargetMode="External"/><Relationship Id="rId761" Type="http://schemas.openxmlformats.org/officeDocument/2006/relationships/hyperlink" Target="https://youtu.be/Cmcv44jiQd0" TargetMode="External"/><Relationship Id="rId859" Type="http://schemas.openxmlformats.org/officeDocument/2006/relationships/hyperlink" Target="https://youtu.be/1Rr1-FW6ZJs" TargetMode="External"/><Relationship Id="rId193" Type="http://schemas.openxmlformats.org/officeDocument/2006/relationships/hyperlink" Target="https://youtu.be/1Rr1-FW6ZJs" TargetMode="External"/><Relationship Id="rId207" Type="http://schemas.openxmlformats.org/officeDocument/2006/relationships/hyperlink" Target="https://youtu.be/AS4FeNiHyKg" TargetMode="External"/><Relationship Id="rId414" Type="http://schemas.openxmlformats.org/officeDocument/2006/relationships/hyperlink" Target="https://youtu.be/8RwbLtfLu6A" TargetMode="External"/><Relationship Id="rId498" Type="http://schemas.openxmlformats.org/officeDocument/2006/relationships/hyperlink" Target="https://youtu.be/vneVQlN7LR4" TargetMode="External"/><Relationship Id="rId621" Type="http://schemas.openxmlformats.org/officeDocument/2006/relationships/hyperlink" Target="https://youtu.be/Z8OrSIk_574" TargetMode="External"/><Relationship Id="rId260" Type="http://schemas.openxmlformats.org/officeDocument/2006/relationships/hyperlink" Target="https://youtu.be/aHS9tKzJXik" TargetMode="External"/><Relationship Id="rId719" Type="http://schemas.openxmlformats.org/officeDocument/2006/relationships/hyperlink" Target="https://youtu.be/Nf1_Ok0LDcI" TargetMode="External"/><Relationship Id="rId55" Type="http://schemas.openxmlformats.org/officeDocument/2006/relationships/hyperlink" Target="https://youtu.be/7GvY7yTEepM" TargetMode="External"/><Relationship Id="rId120" Type="http://schemas.openxmlformats.org/officeDocument/2006/relationships/hyperlink" Target="https://youtu.be/ksBaBSfmZf4" TargetMode="External"/><Relationship Id="rId358" Type="http://schemas.openxmlformats.org/officeDocument/2006/relationships/hyperlink" Target="https://youtu.be/BRueufxDP2Q" TargetMode="External"/><Relationship Id="rId565" Type="http://schemas.openxmlformats.org/officeDocument/2006/relationships/hyperlink" Target="https://youtu.be/wSHxfQJe1ic" TargetMode="External"/><Relationship Id="rId772" Type="http://schemas.openxmlformats.org/officeDocument/2006/relationships/hyperlink" Target="https://youtu.be/MXGZHJFQ9bE" TargetMode="External"/><Relationship Id="rId218" Type="http://schemas.openxmlformats.org/officeDocument/2006/relationships/hyperlink" Target="https://youtu.be/wXjPZdhUzBQ" TargetMode="External"/><Relationship Id="rId425" Type="http://schemas.openxmlformats.org/officeDocument/2006/relationships/hyperlink" Target="https://youtu.be/7GvY7yTEepM" TargetMode="External"/><Relationship Id="rId632" Type="http://schemas.openxmlformats.org/officeDocument/2006/relationships/hyperlink" Target="https://youtu.be/xbnan2iNh-Q" TargetMode="External"/><Relationship Id="rId271" Type="http://schemas.openxmlformats.org/officeDocument/2006/relationships/hyperlink" Target="https://youtu.be/WMkCGNwo5ts" TargetMode="External"/><Relationship Id="rId66" Type="http://schemas.openxmlformats.org/officeDocument/2006/relationships/hyperlink" Target="https://youtu.be/uCAoI5FnLhs" TargetMode="External"/><Relationship Id="rId131" Type="http://schemas.openxmlformats.org/officeDocument/2006/relationships/hyperlink" Target="https://youtu.be/1n6xrEI5g0Q" TargetMode="External"/><Relationship Id="rId369" Type="http://schemas.openxmlformats.org/officeDocument/2006/relationships/hyperlink" Target="https://youtu.be/Z8OrSIk_574" TargetMode="External"/><Relationship Id="rId576" Type="http://schemas.openxmlformats.org/officeDocument/2006/relationships/hyperlink" Target="https://youtu.be/J0l0qQCy80Q" TargetMode="External"/><Relationship Id="rId783" Type="http://schemas.openxmlformats.org/officeDocument/2006/relationships/hyperlink" Target="https://youtu.be/ELgSmlwFsFQ" TargetMode="External"/><Relationship Id="rId229" Type="http://schemas.openxmlformats.org/officeDocument/2006/relationships/hyperlink" Target="https://youtu.be/xaOQJjzNrd8" TargetMode="External"/><Relationship Id="rId436" Type="http://schemas.openxmlformats.org/officeDocument/2006/relationships/hyperlink" Target="https://youtu.be/uCAoI5FnLhs" TargetMode="External"/><Relationship Id="rId643" Type="http://schemas.openxmlformats.org/officeDocument/2006/relationships/hyperlink" Target="https://youtu.be/LC9SO-pIXqA" TargetMode="External"/><Relationship Id="rId850" Type="http://schemas.openxmlformats.org/officeDocument/2006/relationships/hyperlink" Target="https://youtu.be/KlxdhDSi5Dc" TargetMode="External"/><Relationship Id="rId77" Type="http://schemas.openxmlformats.org/officeDocument/2006/relationships/hyperlink" Target="https://youtu.be/UbNb5Tsl46c" TargetMode="External"/><Relationship Id="rId282" Type="http://schemas.openxmlformats.org/officeDocument/2006/relationships/hyperlink" Target="https://youtu.be/sInGFVj-bJA" TargetMode="External"/><Relationship Id="rId503" Type="http://schemas.openxmlformats.org/officeDocument/2006/relationships/hyperlink" Target="https://youtu.be/AS4FeNiHyKg" TargetMode="External"/><Relationship Id="rId587" Type="http://schemas.openxmlformats.org/officeDocument/2006/relationships/hyperlink" Target="https://youtu.be/UvxrIuG-Xeg" TargetMode="External"/><Relationship Id="rId710" Type="http://schemas.openxmlformats.org/officeDocument/2006/relationships/hyperlink" Target="https://youtu.be/8RwbLtfLu6A" TargetMode="External"/><Relationship Id="rId808" Type="http://schemas.openxmlformats.org/officeDocument/2006/relationships/hyperlink" Target="https://youtu.be/kSxgX6HIYxQ" TargetMode="External"/><Relationship Id="rId8" Type="http://schemas.openxmlformats.org/officeDocument/2006/relationships/hyperlink" Target="https://youtu.be/xxnjF6ljHmg" TargetMode="External"/><Relationship Id="rId142" Type="http://schemas.openxmlformats.org/officeDocument/2006/relationships/hyperlink" Target="https://youtu.be/kSxgX6HIYxQ" TargetMode="External"/><Relationship Id="rId447" Type="http://schemas.openxmlformats.org/officeDocument/2006/relationships/hyperlink" Target="https://youtu.be/UbNb5Tsl46c" TargetMode="External"/><Relationship Id="rId794" Type="http://schemas.openxmlformats.org/officeDocument/2006/relationships/hyperlink" Target="https://youtu.be/vneVQlN7LR4" TargetMode="External"/><Relationship Id="rId654" Type="http://schemas.openxmlformats.org/officeDocument/2006/relationships/hyperlink" Target="https://youtu.be/BRueufxDP2Q" TargetMode="External"/><Relationship Id="rId861" Type="http://schemas.openxmlformats.org/officeDocument/2006/relationships/hyperlink" Target="https://youtu.be/wSHxfQJe1ic" TargetMode="External"/><Relationship Id="rId293" Type="http://schemas.openxmlformats.org/officeDocument/2006/relationships/hyperlink" Target="https://youtu.be/nc6pAci8Tpg" TargetMode="External"/><Relationship Id="rId307" Type="http://schemas.openxmlformats.org/officeDocument/2006/relationships/hyperlink" Target="https://youtu.be/nDl3VjkLPQE" TargetMode="External"/><Relationship Id="rId514" Type="http://schemas.openxmlformats.org/officeDocument/2006/relationships/hyperlink" Target="https://youtu.be/wXjPZdhUzBQ" TargetMode="External"/><Relationship Id="rId721" Type="http://schemas.openxmlformats.org/officeDocument/2006/relationships/hyperlink" Target="https://youtu.be/7GvY7yTEepM" TargetMode="External"/><Relationship Id="rId88" Type="http://schemas.openxmlformats.org/officeDocument/2006/relationships/hyperlink" Target="https://youtu.be/-mcxziH_KdM" TargetMode="External"/><Relationship Id="rId153" Type="http://schemas.openxmlformats.org/officeDocument/2006/relationships/hyperlink" Target="https://youtu.be/q3agRhqt_WA" TargetMode="External"/><Relationship Id="rId360" Type="http://schemas.openxmlformats.org/officeDocument/2006/relationships/hyperlink" Target="https://youtu.be/HJx1sIZKDqk" TargetMode="External"/><Relationship Id="rId598" Type="http://schemas.openxmlformats.org/officeDocument/2006/relationships/hyperlink" Target="https://youtu.be/dhSKkQdUzoA" TargetMode="External"/><Relationship Id="rId819" Type="http://schemas.openxmlformats.org/officeDocument/2006/relationships/hyperlink" Target="https://youtu.be/q3agRhqt_WA" TargetMode="External"/><Relationship Id="rId220" Type="http://schemas.openxmlformats.org/officeDocument/2006/relationships/hyperlink" Target="https://youtu.be/DX1WzS7k0Uc" TargetMode="External"/><Relationship Id="rId458" Type="http://schemas.openxmlformats.org/officeDocument/2006/relationships/hyperlink" Target="https://youtu.be/-mcxziH_KdM" TargetMode="External"/><Relationship Id="rId665" Type="http://schemas.openxmlformats.org/officeDocument/2006/relationships/hyperlink" Target="https://youtu.be/Z8OrSIk_574" TargetMode="External"/><Relationship Id="rId872" Type="http://schemas.openxmlformats.org/officeDocument/2006/relationships/hyperlink" Target="https://youtu.be/J0l0qQCy80Q" TargetMode="External"/><Relationship Id="rId15" Type="http://schemas.openxmlformats.org/officeDocument/2006/relationships/hyperlink" Target="https://youtu.be/LC9SO-pIXqA" TargetMode="External"/><Relationship Id="rId318" Type="http://schemas.openxmlformats.org/officeDocument/2006/relationships/hyperlink" Target="https://youtu.be/2KDc6iAcrAw" TargetMode="External"/><Relationship Id="rId525" Type="http://schemas.openxmlformats.org/officeDocument/2006/relationships/hyperlink" Target="https://youtu.be/xaOQJjzNrd8" TargetMode="External"/><Relationship Id="rId732" Type="http://schemas.openxmlformats.org/officeDocument/2006/relationships/hyperlink" Target="https://youtu.be/uCAoI5FnLhs" TargetMode="External"/><Relationship Id="rId99" Type="http://schemas.openxmlformats.org/officeDocument/2006/relationships/hyperlink" Target="https://youtu.be/qTSTOVVr8rU" TargetMode="External"/><Relationship Id="rId164" Type="http://schemas.openxmlformats.org/officeDocument/2006/relationships/hyperlink" Target="https://youtu.be/7l859qd4E48" TargetMode="External"/><Relationship Id="rId371" Type="http://schemas.openxmlformats.org/officeDocument/2006/relationships/hyperlink" Target="https://youtu.be/y28L1m1PYUQ" TargetMode="External"/><Relationship Id="rId469" Type="http://schemas.openxmlformats.org/officeDocument/2006/relationships/hyperlink" Target="https://youtu.be/qTSTOVVr8rU" TargetMode="External"/><Relationship Id="rId676" Type="http://schemas.openxmlformats.org/officeDocument/2006/relationships/hyperlink" Target="https://youtu.be/oB27u_w3pX4" TargetMode="External"/><Relationship Id="rId883" Type="http://schemas.openxmlformats.org/officeDocument/2006/relationships/hyperlink" Target="https://youtu.be/UvxrIuG-Xeg" TargetMode="External"/><Relationship Id="rId26" Type="http://schemas.openxmlformats.org/officeDocument/2006/relationships/hyperlink" Target="https://youtu.be/cJ8JrXUQ3xQ" TargetMode="External"/><Relationship Id="rId231" Type="http://schemas.openxmlformats.org/officeDocument/2006/relationships/hyperlink" Target="https://youtu.be/nc6pAci8Tpg" TargetMode="External"/><Relationship Id="rId329" Type="http://schemas.openxmlformats.org/officeDocument/2006/relationships/hyperlink" Target="https://youtu.be/STZ3Twq5fgc" TargetMode="External"/><Relationship Id="rId536" Type="http://schemas.openxmlformats.org/officeDocument/2006/relationships/hyperlink" Target="https://youtu.be/01pnZt1uVFI" TargetMode="External"/><Relationship Id="rId175" Type="http://schemas.openxmlformats.org/officeDocument/2006/relationships/hyperlink" Target="https://youtu.be/qmyToaabqdQ" TargetMode="External"/><Relationship Id="rId743" Type="http://schemas.openxmlformats.org/officeDocument/2006/relationships/hyperlink" Target="https://youtu.be/UbNb5Tsl46c" TargetMode="External"/><Relationship Id="rId382" Type="http://schemas.openxmlformats.org/officeDocument/2006/relationships/hyperlink" Target="https://youtu.be/01pnZt1uVFI" TargetMode="External"/><Relationship Id="rId603" Type="http://schemas.openxmlformats.org/officeDocument/2006/relationships/hyperlink" Target="https://youtu.be/nDl3VjkLPQE" TargetMode="External"/><Relationship Id="rId687" Type="http://schemas.openxmlformats.org/officeDocument/2006/relationships/hyperlink" Target="https://youtu.be/Cmcv44jiQd0" TargetMode="External"/><Relationship Id="rId810" Type="http://schemas.openxmlformats.org/officeDocument/2006/relationships/hyperlink" Target="https://youtu.be/wXjPZdhUzBQ" TargetMode="External"/><Relationship Id="rId908" Type="http://schemas.openxmlformats.org/officeDocument/2006/relationships/table" Target="../tables/table6.xml"/><Relationship Id="rId242" Type="http://schemas.openxmlformats.org/officeDocument/2006/relationships/hyperlink" Target="https://youtu.be/QZ7VZpjNTG8" TargetMode="External"/><Relationship Id="rId894" Type="http://schemas.openxmlformats.org/officeDocument/2006/relationships/hyperlink" Target="https://youtu.be/v3N4tpPpmyQ" TargetMode="External"/><Relationship Id="rId37" Type="http://schemas.openxmlformats.org/officeDocument/2006/relationships/hyperlink" Target="https://youtu.be/G0_M9LBCT0o" TargetMode="External"/><Relationship Id="rId102" Type="http://schemas.openxmlformats.org/officeDocument/2006/relationships/hyperlink" Target="https://youtu.be/DX1WzS7k0Uc" TargetMode="External"/><Relationship Id="rId547" Type="http://schemas.openxmlformats.org/officeDocument/2006/relationships/hyperlink" Target="https://youtu.be/Z8OrSIk_574" TargetMode="External"/><Relationship Id="rId754" Type="http://schemas.openxmlformats.org/officeDocument/2006/relationships/hyperlink" Target="https://youtu.be/-mcxziH_Kd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17290-C547-4F2E-9A4C-FCA1012E86C6}">
  <dimension ref="A1:C68"/>
  <sheetViews>
    <sheetView tabSelected="1" workbookViewId="0">
      <pane ySplit="1" topLeftCell="A31" activePane="bottomLeft" state="frozen"/>
      <selection pane="bottomLeft"/>
    </sheetView>
  </sheetViews>
  <sheetFormatPr defaultRowHeight="12.5" x14ac:dyDescent="0.25"/>
  <cols>
    <col min="1" max="1" width="45.453125" customWidth="1"/>
    <col min="2" max="2" width="50.90625" customWidth="1"/>
    <col min="3" max="3" width="32.7265625" customWidth="1"/>
  </cols>
  <sheetData>
    <row r="1" spans="1:3" ht="40" customHeight="1" x14ac:dyDescent="0.25">
      <c r="A1" s="192" t="s">
        <v>285</v>
      </c>
      <c r="B1" s="193"/>
      <c r="C1" s="193"/>
    </row>
    <row r="3" spans="1:3" ht="18" x14ac:dyDescent="0.4">
      <c r="A3" s="191" t="s">
        <v>286</v>
      </c>
    </row>
    <row r="4" spans="1:3" ht="35" customHeight="1" x14ac:dyDescent="0.25">
      <c r="A4" s="190" t="s">
        <v>287</v>
      </c>
    </row>
    <row r="6" spans="1:3" ht="18" x14ac:dyDescent="0.4">
      <c r="A6" s="191" t="s">
        <v>288</v>
      </c>
    </row>
    <row r="7" spans="1:3" ht="13" x14ac:dyDescent="0.3">
      <c r="A7" s="93" t="s">
        <v>393</v>
      </c>
      <c r="B7" s="93" t="s">
        <v>394</v>
      </c>
    </row>
    <row r="8" spans="1:3" x14ac:dyDescent="0.25">
      <c r="A8" s="194" t="s">
        <v>289</v>
      </c>
      <c r="B8" s="194" t="s">
        <v>290</v>
      </c>
    </row>
    <row r="9" spans="1:3" x14ac:dyDescent="0.25">
      <c r="A9" t="s">
        <v>291</v>
      </c>
      <c r="B9" t="s">
        <v>292</v>
      </c>
    </row>
    <row r="10" spans="1:3" x14ac:dyDescent="0.25">
      <c r="A10" s="194" t="s">
        <v>293</v>
      </c>
      <c r="B10" s="194" t="s">
        <v>294</v>
      </c>
    </row>
    <row r="11" spans="1:3" x14ac:dyDescent="0.25">
      <c r="A11" t="s">
        <v>295</v>
      </c>
      <c r="B11" t="s">
        <v>296</v>
      </c>
    </row>
    <row r="12" spans="1:3" x14ac:dyDescent="0.25">
      <c r="A12" s="194" t="s">
        <v>297</v>
      </c>
      <c r="B12" s="194" t="s">
        <v>298</v>
      </c>
    </row>
    <row r="13" spans="1:3" x14ac:dyDescent="0.25">
      <c r="A13" t="s">
        <v>299</v>
      </c>
      <c r="B13" t="s">
        <v>300</v>
      </c>
    </row>
    <row r="15" spans="1:3" ht="18" x14ac:dyDescent="0.4">
      <c r="A15" s="191" t="s">
        <v>301</v>
      </c>
    </row>
    <row r="16" spans="1:3" ht="13" x14ac:dyDescent="0.3">
      <c r="A16" s="93" t="s">
        <v>302</v>
      </c>
      <c r="B16" s="93" t="s">
        <v>303</v>
      </c>
    </row>
    <row r="17" spans="1:3" x14ac:dyDescent="0.25">
      <c r="A17" s="194" t="s">
        <v>304</v>
      </c>
      <c r="B17" s="194" t="s">
        <v>305</v>
      </c>
    </row>
    <row r="18" spans="1:3" x14ac:dyDescent="0.25">
      <c r="A18" t="s">
        <v>306</v>
      </c>
      <c r="B18" t="s">
        <v>307</v>
      </c>
    </row>
    <row r="19" spans="1:3" x14ac:dyDescent="0.25">
      <c r="A19" s="194" t="s">
        <v>308</v>
      </c>
      <c r="B19" s="194" t="s">
        <v>309</v>
      </c>
    </row>
    <row r="20" spans="1:3" x14ac:dyDescent="0.25">
      <c r="A20" t="s">
        <v>310</v>
      </c>
      <c r="B20" t="s">
        <v>311</v>
      </c>
    </row>
    <row r="21" spans="1:3" x14ac:dyDescent="0.25">
      <c r="A21" s="194" t="s">
        <v>312</v>
      </c>
      <c r="B21" s="194" t="s">
        <v>313</v>
      </c>
    </row>
    <row r="23" spans="1:3" ht="18" x14ac:dyDescent="0.4">
      <c r="A23" s="195" t="s">
        <v>314</v>
      </c>
    </row>
    <row r="24" spans="1:3" ht="13" x14ac:dyDescent="0.3">
      <c r="A24" s="93" t="s">
        <v>315</v>
      </c>
      <c r="B24" s="93" t="s">
        <v>316</v>
      </c>
      <c r="C24" s="93" t="s">
        <v>317</v>
      </c>
    </row>
    <row r="25" spans="1:3" x14ac:dyDescent="0.25">
      <c r="A25" s="194" t="s">
        <v>318</v>
      </c>
      <c r="B25" s="194" t="s">
        <v>319</v>
      </c>
      <c r="C25" s="194" t="s">
        <v>320</v>
      </c>
    </row>
    <row r="26" spans="1:3" x14ac:dyDescent="0.25">
      <c r="A26" t="s">
        <v>321</v>
      </c>
      <c r="B26" t="s">
        <v>322</v>
      </c>
      <c r="C26" t="s">
        <v>323</v>
      </c>
    </row>
    <row r="27" spans="1:3" x14ac:dyDescent="0.25">
      <c r="A27" s="194" t="s">
        <v>324</v>
      </c>
      <c r="B27" s="194" t="s">
        <v>325</v>
      </c>
      <c r="C27" s="194" t="s">
        <v>326</v>
      </c>
    </row>
    <row r="28" spans="1:3" x14ac:dyDescent="0.25">
      <c r="A28" t="s">
        <v>327</v>
      </c>
      <c r="B28" t="s">
        <v>328</v>
      </c>
      <c r="C28" t="s">
        <v>323</v>
      </c>
    </row>
    <row r="29" spans="1:3" x14ac:dyDescent="0.25">
      <c r="A29" s="194" t="s">
        <v>329</v>
      </c>
      <c r="B29" s="194" t="s">
        <v>330</v>
      </c>
      <c r="C29" s="194" t="s">
        <v>331</v>
      </c>
    </row>
    <row r="30" spans="1:3" x14ac:dyDescent="0.25">
      <c r="A30" t="s">
        <v>332</v>
      </c>
      <c r="B30" t="s">
        <v>333</v>
      </c>
      <c r="C30" t="s">
        <v>334</v>
      </c>
    </row>
    <row r="31" spans="1:3" x14ac:dyDescent="0.25">
      <c r="A31" s="194" t="s">
        <v>335</v>
      </c>
      <c r="B31" s="194" t="s">
        <v>336</v>
      </c>
      <c r="C31" s="194" t="s">
        <v>337</v>
      </c>
    </row>
    <row r="32" spans="1:3" x14ac:dyDescent="0.25">
      <c r="A32" t="s">
        <v>338</v>
      </c>
      <c r="B32" t="s">
        <v>339</v>
      </c>
      <c r="C32" t="s">
        <v>340</v>
      </c>
    </row>
    <row r="33" spans="1:3" x14ac:dyDescent="0.25">
      <c r="A33" s="194" t="s">
        <v>341</v>
      </c>
      <c r="B33" s="194" t="s">
        <v>342</v>
      </c>
      <c r="C33" s="194" t="s">
        <v>323</v>
      </c>
    </row>
    <row r="35" spans="1:3" ht="18" x14ac:dyDescent="0.4">
      <c r="A35" s="195" t="s">
        <v>343</v>
      </c>
    </row>
    <row r="36" spans="1:3" ht="13" x14ac:dyDescent="0.3">
      <c r="A36" s="93" t="s">
        <v>344</v>
      </c>
      <c r="B36" s="93" t="s">
        <v>345</v>
      </c>
    </row>
    <row r="37" spans="1:3" x14ac:dyDescent="0.25">
      <c r="A37" s="194" t="s">
        <v>346</v>
      </c>
      <c r="B37" s="194" t="s">
        <v>395</v>
      </c>
    </row>
    <row r="38" spans="1:3" x14ac:dyDescent="0.25">
      <c r="A38" t="s">
        <v>347</v>
      </c>
      <c r="B38" t="s">
        <v>396</v>
      </c>
    </row>
    <row r="39" spans="1:3" x14ac:dyDescent="0.25">
      <c r="A39" s="194" t="s">
        <v>348</v>
      </c>
      <c r="B39" s="194" t="s">
        <v>397</v>
      </c>
    </row>
    <row r="40" spans="1:3" x14ac:dyDescent="0.25">
      <c r="A40" t="s">
        <v>349</v>
      </c>
      <c r="B40" t="s">
        <v>398</v>
      </c>
    </row>
    <row r="41" spans="1:3" x14ac:dyDescent="0.25">
      <c r="A41" s="194" t="s">
        <v>350</v>
      </c>
      <c r="B41" s="194" t="s">
        <v>399</v>
      </c>
    </row>
    <row r="43" spans="1:3" ht="18" x14ac:dyDescent="0.4">
      <c r="A43" s="195" t="s">
        <v>351</v>
      </c>
    </row>
    <row r="44" spans="1:3" ht="13" x14ac:dyDescent="0.3">
      <c r="A44" s="93" t="s">
        <v>400</v>
      </c>
      <c r="B44" s="93" t="s">
        <v>401</v>
      </c>
    </row>
    <row r="45" spans="1:3" x14ac:dyDescent="0.25">
      <c r="A45" s="194" t="s">
        <v>352</v>
      </c>
      <c r="B45" s="194" t="s">
        <v>353</v>
      </c>
    </row>
    <row r="46" spans="1:3" x14ac:dyDescent="0.25">
      <c r="A46" t="s">
        <v>354</v>
      </c>
      <c r="B46" t="s">
        <v>355</v>
      </c>
    </row>
    <row r="47" spans="1:3" x14ac:dyDescent="0.25">
      <c r="A47" s="194" t="s">
        <v>356</v>
      </c>
      <c r="B47" s="194" t="s">
        <v>357</v>
      </c>
    </row>
    <row r="48" spans="1:3" x14ac:dyDescent="0.25">
      <c r="A48" t="s">
        <v>358</v>
      </c>
      <c r="B48" t="s">
        <v>359</v>
      </c>
    </row>
    <row r="49" spans="1:3" x14ac:dyDescent="0.25">
      <c r="A49" s="194" t="s">
        <v>360</v>
      </c>
      <c r="B49" s="194" t="s">
        <v>361</v>
      </c>
    </row>
    <row r="50" spans="1:3" x14ac:dyDescent="0.25">
      <c r="A50" t="s">
        <v>362</v>
      </c>
      <c r="B50" t="s">
        <v>363</v>
      </c>
    </row>
    <row r="52" spans="1:3" ht="18" x14ac:dyDescent="0.4">
      <c r="A52" s="191" t="s">
        <v>364</v>
      </c>
    </row>
    <row r="53" spans="1:3" ht="13" x14ac:dyDescent="0.3">
      <c r="A53" s="93" t="s">
        <v>402</v>
      </c>
      <c r="B53" s="93" t="s">
        <v>316</v>
      </c>
    </row>
    <row r="54" spans="1:3" x14ac:dyDescent="0.25">
      <c r="A54" s="194" t="s">
        <v>365</v>
      </c>
      <c r="B54" s="194" t="s">
        <v>366</v>
      </c>
    </row>
    <row r="55" spans="1:3" x14ac:dyDescent="0.25">
      <c r="A55" t="s">
        <v>367</v>
      </c>
      <c r="B55" t="s">
        <v>368</v>
      </c>
    </row>
    <row r="56" spans="1:3" x14ac:dyDescent="0.25">
      <c r="A56" s="194" t="s">
        <v>369</v>
      </c>
      <c r="B56" s="194" t="s">
        <v>370</v>
      </c>
    </row>
    <row r="57" spans="1:3" x14ac:dyDescent="0.25">
      <c r="A57" t="s">
        <v>371</v>
      </c>
      <c r="B57" t="s">
        <v>372</v>
      </c>
    </row>
    <row r="58" spans="1:3" x14ac:dyDescent="0.25">
      <c r="A58" s="194" t="s">
        <v>373</v>
      </c>
      <c r="B58" s="194" t="s">
        <v>374</v>
      </c>
    </row>
    <row r="59" spans="1:3" x14ac:dyDescent="0.25">
      <c r="A59" t="s">
        <v>375</v>
      </c>
      <c r="B59" t="s">
        <v>376</v>
      </c>
    </row>
    <row r="61" spans="1:3" ht="18" x14ac:dyDescent="0.4">
      <c r="A61" s="191" t="s">
        <v>377</v>
      </c>
    </row>
    <row r="62" spans="1:3" ht="13" x14ac:dyDescent="0.3">
      <c r="A62" s="93" t="s">
        <v>378</v>
      </c>
      <c r="B62" s="93" t="s">
        <v>379</v>
      </c>
      <c r="C62" s="93" t="s">
        <v>380</v>
      </c>
    </row>
    <row r="63" spans="1:3" x14ac:dyDescent="0.25">
      <c r="A63" s="196" t="s">
        <v>381</v>
      </c>
      <c r="B63" s="196" t="s">
        <v>382</v>
      </c>
      <c r="C63" s="197" t="s">
        <v>383</v>
      </c>
    </row>
    <row r="64" spans="1:3" x14ac:dyDescent="0.25">
      <c r="A64" s="198" t="s">
        <v>384</v>
      </c>
      <c r="B64" s="198" t="s">
        <v>385</v>
      </c>
      <c r="C64" s="197" t="s">
        <v>386</v>
      </c>
    </row>
    <row r="65" spans="1:3" x14ac:dyDescent="0.25">
      <c r="A65" s="199" t="s">
        <v>387</v>
      </c>
      <c r="B65" s="199" t="s">
        <v>388</v>
      </c>
      <c r="C65" s="197" t="s">
        <v>389</v>
      </c>
    </row>
    <row r="66" spans="1:3" x14ac:dyDescent="0.25">
      <c r="A66" s="200" t="s">
        <v>390</v>
      </c>
      <c r="B66" s="200" t="s">
        <v>391</v>
      </c>
      <c r="C66" s="197" t="s">
        <v>392</v>
      </c>
    </row>
    <row r="68" spans="1:3" ht="13" x14ac:dyDescent="0.3">
      <c r="A68" s="201" t="s">
        <v>403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641"/>
  <sheetViews>
    <sheetView showGridLines="0" zoomScale="80" zoomScaleNormal="80" workbookViewId="0">
      <selection activeCell="S28" sqref="S28"/>
    </sheetView>
  </sheetViews>
  <sheetFormatPr defaultColWidth="12.54296875" defaultRowHeight="12.5" x14ac:dyDescent="0.25"/>
  <cols>
    <col min="2" max="2" width="12.1796875" customWidth="1"/>
    <col min="3" max="3" width="22.26953125" bestFit="1" customWidth="1"/>
    <col min="4" max="4" width="23.453125" bestFit="1" customWidth="1"/>
    <col min="5" max="5" width="12.1796875" bestFit="1" customWidth="1"/>
    <col min="6" max="6" width="11.26953125" bestFit="1" customWidth="1"/>
    <col min="7" max="7" width="9.1796875" bestFit="1" customWidth="1"/>
    <col min="8" max="8" width="6.7265625" customWidth="1"/>
    <col min="9" max="9" width="6" customWidth="1"/>
    <col min="10" max="10" width="6.7265625" customWidth="1"/>
    <col min="11" max="11" width="6.26953125" customWidth="1"/>
    <col min="12" max="12" width="11" customWidth="1"/>
    <col min="13" max="13" width="10.54296875" customWidth="1"/>
    <col min="14" max="14" width="7.7265625" customWidth="1"/>
    <col min="15" max="15" width="19" customWidth="1"/>
    <col min="16" max="16" width="19.1796875" bestFit="1" customWidth="1"/>
    <col min="17" max="17" width="64.54296875" customWidth="1"/>
  </cols>
  <sheetData>
    <row r="1" spans="1:31" ht="30.75" customHeight="1" x14ac:dyDescent="0.6">
      <c r="A1" s="1"/>
      <c r="B1" s="158" t="s">
        <v>0</v>
      </c>
      <c r="C1" s="159"/>
      <c r="D1" s="159"/>
      <c r="E1" s="159"/>
      <c r="F1" s="159"/>
      <c r="G1" s="159"/>
      <c r="H1" s="159"/>
      <c r="I1" s="159"/>
      <c r="J1" s="159"/>
      <c r="K1" s="159"/>
      <c r="L1" s="159"/>
      <c r="M1" s="159"/>
      <c r="N1" s="159"/>
      <c r="O1" s="159"/>
      <c r="P1" s="159"/>
      <c r="Q1" s="151"/>
      <c r="R1" s="1"/>
      <c r="S1" s="1"/>
      <c r="T1" s="1"/>
      <c r="U1" s="1"/>
      <c r="V1" s="1"/>
      <c r="W1" s="1"/>
      <c r="X1" s="1"/>
      <c r="Y1" s="1"/>
      <c r="Z1" s="1"/>
      <c r="AA1" s="1"/>
      <c r="AB1" s="1"/>
      <c r="AC1" s="1"/>
      <c r="AD1" s="1"/>
      <c r="AE1" s="1"/>
    </row>
    <row r="2" spans="1:31" x14ac:dyDescent="0.25">
      <c r="A2" s="1"/>
      <c r="B2" s="2"/>
      <c r="C2" s="3"/>
      <c r="D2" s="2"/>
      <c r="E2" s="2"/>
      <c r="F2" s="2"/>
      <c r="G2" s="2"/>
      <c r="H2" s="2"/>
      <c r="I2" s="2"/>
      <c r="J2" s="2"/>
      <c r="K2" s="2"/>
      <c r="L2" s="2"/>
      <c r="M2" s="2"/>
      <c r="N2" s="2"/>
      <c r="O2" s="2"/>
      <c r="P2" s="2"/>
      <c r="Q2" s="4" t="s">
        <v>1</v>
      </c>
      <c r="R2" s="1"/>
      <c r="S2" s="1"/>
      <c r="T2" s="1"/>
      <c r="U2" s="1"/>
      <c r="V2" s="1"/>
      <c r="W2" s="1"/>
      <c r="X2" s="1"/>
      <c r="Y2" s="1"/>
      <c r="Z2" s="1"/>
      <c r="AA2" s="1"/>
      <c r="AB2" s="1"/>
      <c r="AC2" s="1"/>
      <c r="AD2" s="1"/>
      <c r="AE2" s="1"/>
    </row>
    <row r="3" spans="1:31" ht="227.25" customHeight="1" x14ac:dyDescent="0.35">
      <c r="A3" s="1"/>
      <c r="B3" s="160" t="s">
        <v>2</v>
      </c>
      <c r="C3" s="148"/>
      <c r="D3" s="148"/>
      <c r="E3" s="148"/>
      <c r="F3" s="148"/>
      <c r="G3" s="148"/>
      <c r="H3" s="148"/>
      <c r="I3" s="148"/>
      <c r="J3" s="148"/>
      <c r="K3" s="148"/>
      <c r="L3" s="148"/>
      <c r="M3" s="148"/>
      <c r="N3" s="148"/>
      <c r="O3" s="148"/>
      <c r="P3" s="148"/>
      <c r="Q3" s="148"/>
      <c r="R3" s="1"/>
      <c r="S3" s="1"/>
      <c r="T3" s="1"/>
      <c r="U3" s="1"/>
      <c r="V3" s="1"/>
      <c r="W3" s="1"/>
      <c r="X3" s="1"/>
      <c r="Y3" s="1"/>
      <c r="Z3" s="1"/>
      <c r="AA3" s="1"/>
      <c r="AB3" s="1"/>
      <c r="AC3" s="1"/>
      <c r="AD3" s="1"/>
      <c r="AE3" s="1"/>
    </row>
    <row r="4" spans="1:31" x14ac:dyDescent="0.25">
      <c r="A4" s="1"/>
      <c r="B4" s="1"/>
      <c r="C4" s="5"/>
      <c r="D4" s="5"/>
      <c r="E4" s="1"/>
      <c r="F4" s="1"/>
      <c r="G4" s="1"/>
      <c r="H4" s="1"/>
      <c r="I4" s="1"/>
      <c r="J4" s="1"/>
      <c r="K4" s="1"/>
      <c r="L4" s="1"/>
      <c r="M4" s="1"/>
      <c r="N4" s="1"/>
      <c r="O4" s="5"/>
      <c r="P4" s="5"/>
      <c r="Q4" s="5"/>
      <c r="R4" s="1"/>
      <c r="S4" s="1"/>
      <c r="T4" s="1"/>
      <c r="U4" s="1"/>
      <c r="V4" s="1"/>
      <c r="W4" s="1"/>
      <c r="X4" s="1"/>
      <c r="Y4" s="1"/>
      <c r="Z4" s="1"/>
      <c r="AA4" s="1"/>
      <c r="AB4" s="1"/>
      <c r="AC4" s="1"/>
      <c r="AD4" s="1"/>
      <c r="AE4" s="1"/>
    </row>
    <row r="5" spans="1:31" ht="23" x14ac:dyDescent="0.25">
      <c r="A5" s="1"/>
      <c r="B5" s="6"/>
      <c r="C5" s="7"/>
      <c r="D5" s="8"/>
      <c r="E5" s="8"/>
      <c r="F5" s="8"/>
      <c r="G5" s="161" t="s">
        <v>3</v>
      </c>
      <c r="H5" s="144"/>
      <c r="I5" s="144"/>
      <c r="J5" s="144"/>
      <c r="K5" s="144"/>
      <c r="L5" s="144"/>
      <c r="M5" s="144"/>
      <c r="N5" s="144"/>
      <c r="O5" s="144"/>
      <c r="P5" s="162"/>
      <c r="Q5" s="8"/>
      <c r="R5" s="1"/>
      <c r="S5" s="1"/>
      <c r="T5" s="1"/>
      <c r="U5" s="1"/>
      <c r="V5" s="1"/>
      <c r="W5" s="1"/>
      <c r="X5" s="1"/>
      <c r="Y5" s="1"/>
      <c r="Z5" s="1"/>
      <c r="AA5" s="1"/>
      <c r="AB5" s="1"/>
      <c r="AC5" s="1"/>
      <c r="AD5" s="1"/>
      <c r="AE5" s="1"/>
    </row>
    <row r="6" spans="1:31" ht="69.75" customHeight="1" x14ac:dyDescent="0.25">
      <c r="A6" s="1"/>
      <c r="B6" s="6"/>
      <c r="C6" s="7"/>
      <c r="D6" s="8"/>
      <c r="E6" s="8"/>
      <c r="F6" s="8"/>
      <c r="G6" s="163" t="s">
        <v>144</v>
      </c>
      <c r="H6" s="144"/>
      <c r="I6" s="144"/>
      <c r="J6" s="144"/>
      <c r="K6" s="144"/>
      <c r="L6" s="144"/>
      <c r="M6" s="144"/>
      <c r="N6" s="144"/>
      <c r="O6" s="144"/>
      <c r="P6" s="162"/>
      <c r="Q6" s="8"/>
      <c r="R6" s="1"/>
      <c r="S6" s="1"/>
      <c r="T6" s="1"/>
      <c r="U6" s="1"/>
      <c r="V6" s="1"/>
      <c r="W6" s="1"/>
      <c r="X6" s="1"/>
      <c r="Y6" s="1"/>
      <c r="Z6" s="1"/>
      <c r="AA6" s="1"/>
      <c r="AB6" s="1"/>
      <c r="AC6" s="1"/>
      <c r="AD6" s="1"/>
      <c r="AE6" s="1"/>
    </row>
    <row r="7" spans="1:31" ht="23" x14ac:dyDescent="0.25">
      <c r="A7" s="1"/>
      <c r="B7" s="6"/>
      <c r="C7" s="7"/>
      <c r="D7" s="7"/>
      <c r="E7" s="6"/>
      <c r="F7" s="6"/>
      <c r="G7" s="6"/>
      <c r="H7" s="6"/>
      <c r="I7" s="6"/>
      <c r="J7" s="6"/>
      <c r="K7" s="6"/>
      <c r="L7" s="6"/>
      <c r="M7" s="6"/>
      <c r="N7" s="6"/>
      <c r="O7" s="7"/>
      <c r="P7" s="7"/>
      <c r="Q7" s="7"/>
      <c r="R7" s="1"/>
      <c r="S7" s="1"/>
      <c r="T7" s="1"/>
      <c r="U7" s="1"/>
      <c r="V7" s="1"/>
      <c r="W7" s="1"/>
      <c r="X7" s="1"/>
      <c r="Y7" s="1"/>
      <c r="Z7" s="1"/>
      <c r="AA7" s="1"/>
      <c r="AB7" s="1"/>
      <c r="AC7" s="1"/>
      <c r="AD7" s="1"/>
      <c r="AE7" s="1"/>
    </row>
    <row r="8" spans="1:31" ht="23" x14ac:dyDescent="0.25">
      <c r="A8" s="1"/>
      <c r="B8" s="6"/>
      <c r="C8" s="7"/>
      <c r="D8" s="7"/>
      <c r="E8" s="6"/>
      <c r="F8" s="6"/>
      <c r="G8" s="6"/>
      <c r="H8" s="6"/>
      <c r="I8" s="6"/>
      <c r="J8" s="6"/>
      <c r="K8" s="6"/>
      <c r="L8" s="6"/>
      <c r="M8" s="6"/>
      <c r="N8" s="6"/>
      <c r="O8" s="7"/>
      <c r="P8" s="7"/>
      <c r="Q8" s="7"/>
      <c r="R8" s="1"/>
      <c r="S8" s="1"/>
      <c r="T8" s="1"/>
      <c r="U8" s="1"/>
      <c r="V8" s="1"/>
      <c r="W8" s="1"/>
      <c r="X8" s="1"/>
      <c r="Y8" s="1"/>
      <c r="Z8" s="1"/>
      <c r="AA8" s="1"/>
      <c r="AB8" s="1"/>
      <c r="AC8" s="1"/>
      <c r="AD8" s="1"/>
      <c r="AE8" s="1"/>
    </row>
    <row r="9" spans="1:31" ht="23" x14ac:dyDescent="0.25">
      <c r="A9" s="1"/>
      <c r="B9" s="6"/>
      <c r="C9" s="7"/>
      <c r="D9" s="7"/>
      <c r="E9" s="6"/>
      <c r="F9" s="6"/>
      <c r="G9" s="6"/>
      <c r="H9" s="6"/>
      <c r="I9" s="6"/>
      <c r="J9" s="6"/>
      <c r="K9" s="6"/>
      <c r="L9" s="6"/>
      <c r="M9" s="6"/>
      <c r="N9" s="6"/>
      <c r="O9" s="7"/>
      <c r="P9" s="7"/>
      <c r="Q9" s="7"/>
      <c r="R9" s="1"/>
      <c r="S9" s="1"/>
      <c r="T9" s="1"/>
      <c r="U9" s="1"/>
      <c r="V9" s="1"/>
      <c r="W9" s="1"/>
      <c r="X9" s="1"/>
      <c r="Y9" s="1"/>
      <c r="Z9" s="1"/>
      <c r="AA9" s="1"/>
      <c r="AB9" s="1"/>
      <c r="AC9" s="1"/>
      <c r="AD9" s="1"/>
      <c r="AE9" s="1"/>
    </row>
    <row r="10" spans="1:31" ht="23" x14ac:dyDescent="0.25">
      <c r="A10" s="1"/>
      <c r="B10" s="164" t="s">
        <v>4</v>
      </c>
      <c r="C10" s="165"/>
      <c r="D10" s="165"/>
      <c r="E10" s="165"/>
      <c r="F10" s="165"/>
      <c r="G10" s="165"/>
      <c r="H10" s="165"/>
      <c r="I10" s="165"/>
      <c r="J10" s="165"/>
      <c r="K10" s="165"/>
      <c r="L10" s="165"/>
      <c r="M10" s="165"/>
      <c r="N10" s="165"/>
      <c r="O10" s="165"/>
      <c r="P10" s="165"/>
      <c r="Q10" s="147"/>
      <c r="R10" s="1"/>
      <c r="S10" s="1"/>
      <c r="T10" s="1"/>
      <c r="U10" s="1"/>
      <c r="V10" s="1"/>
      <c r="W10" s="1"/>
      <c r="X10" s="1"/>
      <c r="Y10" s="1"/>
      <c r="Z10" s="1"/>
      <c r="AA10" s="1"/>
      <c r="AB10" s="1"/>
      <c r="AC10" s="1"/>
      <c r="AD10" s="1"/>
      <c r="AE10" s="1"/>
    </row>
    <row r="11" spans="1:31" ht="23" x14ac:dyDescent="0.25">
      <c r="A11" s="1"/>
      <c r="B11" s="166" t="s">
        <v>5</v>
      </c>
      <c r="C11" s="165"/>
      <c r="D11" s="165"/>
      <c r="E11" s="165"/>
      <c r="F11" s="165"/>
      <c r="G11" s="165"/>
      <c r="H11" s="165"/>
      <c r="I11" s="165"/>
      <c r="J11" s="165"/>
      <c r="K11" s="165"/>
      <c r="L11" s="165"/>
      <c r="M11" s="165"/>
      <c r="N11" s="165"/>
      <c r="O11" s="165"/>
      <c r="P11" s="165"/>
      <c r="Q11" s="147"/>
      <c r="R11" s="1"/>
      <c r="S11" s="1"/>
      <c r="T11" s="1"/>
      <c r="U11" s="1"/>
      <c r="V11" s="1"/>
      <c r="W11" s="1"/>
      <c r="X11" s="1"/>
      <c r="Y11" s="1"/>
      <c r="Z11" s="1"/>
      <c r="AA11" s="1"/>
      <c r="AB11" s="1"/>
      <c r="AC11" s="1"/>
      <c r="AD11" s="1"/>
      <c r="AE11" s="1"/>
    </row>
    <row r="12" spans="1:31" x14ac:dyDescent="0.25">
      <c r="A12" s="1"/>
      <c r="B12" s="132" t="s">
        <v>6</v>
      </c>
      <c r="C12" s="135" t="s">
        <v>7</v>
      </c>
      <c r="D12" s="135" t="s">
        <v>8</v>
      </c>
      <c r="E12" s="135" t="s">
        <v>9</v>
      </c>
      <c r="F12" s="139" t="s">
        <v>10</v>
      </c>
      <c r="G12" s="142" t="s">
        <v>11</v>
      </c>
      <c r="H12" s="143" t="s">
        <v>12</v>
      </c>
      <c r="I12" s="144"/>
      <c r="J12" s="144"/>
      <c r="K12" s="145"/>
      <c r="L12" s="146" t="s">
        <v>13</v>
      </c>
      <c r="M12" s="147"/>
      <c r="N12" s="150" t="s">
        <v>14</v>
      </c>
      <c r="O12" s="138" t="s">
        <v>15</v>
      </c>
      <c r="P12" s="138" t="s">
        <v>16</v>
      </c>
      <c r="Q12" s="135" t="s">
        <v>17</v>
      </c>
      <c r="R12" s="1"/>
      <c r="S12" s="1"/>
      <c r="T12" s="1"/>
      <c r="U12" s="1"/>
      <c r="V12" s="1"/>
      <c r="W12" s="1"/>
      <c r="X12" s="1"/>
      <c r="Y12" s="1"/>
      <c r="Z12" s="1"/>
      <c r="AA12" s="1"/>
      <c r="AB12" s="1"/>
      <c r="AC12" s="1"/>
      <c r="AD12" s="1"/>
      <c r="AE12" s="1"/>
    </row>
    <row r="13" spans="1:31" x14ac:dyDescent="0.25">
      <c r="A13" s="1"/>
      <c r="B13" s="133"/>
      <c r="C13" s="136"/>
      <c r="D13" s="136"/>
      <c r="E13" s="136"/>
      <c r="F13" s="140"/>
      <c r="G13" s="128"/>
      <c r="H13" s="152" t="s">
        <v>18</v>
      </c>
      <c r="I13" s="153"/>
      <c r="J13" s="154" t="s">
        <v>19</v>
      </c>
      <c r="K13" s="153"/>
      <c r="L13" s="148"/>
      <c r="M13" s="149"/>
      <c r="N13" s="149"/>
      <c r="O13" s="136"/>
      <c r="P13" s="136"/>
      <c r="Q13" s="136"/>
      <c r="R13" s="1"/>
      <c r="S13" s="1"/>
      <c r="T13" s="1"/>
      <c r="U13" s="1"/>
      <c r="V13" s="1"/>
      <c r="W13" s="1"/>
      <c r="X13" s="1"/>
      <c r="Y13" s="1"/>
      <c r="Z13" s="1"/>
      <c r="AA13" s="1"/>
      <c r="AB13" s="1"/>
      <c r="AC13" s="1"/>
      <c r="AD13" s="1"/>
      <c r="AE13" s="1"/>
    </row>
    <row r="14" spans="1:31" ht="13" x14ac:dyDescent="0.25">
      <c r="A14" s="1"/>
      <c r="B14" s="134"/>
      <c r="C14" s="137"/>
      <c r="D14" s="137"/>
      <c r="E14" s="137"/>
      <c r="F14" s="141"/>
      <c r="G14" s="128"/>
      <c r="H14" s="9" t="s">
        <v>20</v>
      </c>
      <c r="I14" s="10" t="s">
        <v>21</v>
      </c>
      <c r="J14" s="11" t="s">
        <v>20</v>
      </c>
      <c r="K14" s="10" t="s">
        <v>21</v>
      </c>
      <c r="L14" s="12" t="s">
        <v>22</v>
      </c>
      <c r="M14" s="12" t="s">
        <v>23</v>
      </c>
      <c r="N14" s="151"/>
      <c r="O14" s="137"/>
      <c r="P14" s="137"/>
      <c r="Q14" s="137"/>
      <c r="R14" s="1"/>
      <c r="S14" s="1"/>
      <c r="T14" s="1"/>
      <c r="U14" s="1"/>
      <c r="V14" s="1"/>
      <c r="W14" s="1"/>
      <c r="X14" s="1"/>
      <c r="Y14" s="1"/>
      <c r="Z14" s="1"/>
      <c r="AA14" s="1"/>
      <c r="AB14" s="1"/>
      <c r="AC14" s="1"/>
      <c r="AD14" s="1"/>
      <c r="AE14" s="1"/>
    </row>
    <row r="15" spans="1:31" ht="25" x14ac:dyDescent="0.25">
      <c r="A15" s="1"/>
      <c r="B15" s="127" t="s">
        <v>140</v>
      </c>
      <c r="C15" s="13" t="s">
        <v>41</v>
      </c>
      <c r="D15" s="14" t="s">
        <v>25</v>
      </c>
      <c r="E15" s="15">
        <v>45659</v>
      </c>
      <c r="F15" s="14">
        <v>2</v>
      </c>
      <c r="G15" s="15">
        <v>45816</v>
      </c>
      <c r="H15" s="16"/>
      <c r="I15" s="17"/>
      <c r="J15" s="18"/>
      <c r="K15" s="17"/>
      <c r="L15" s="14">
        <v>1</v>
      </c>
      <c r="M15" s="14">
        <v>0</v>
      </c>
      <c r="N15" s="14" t="s">
        <v>30</v>
      </c>
      <c r="O15" s="13" t="s">
        <v>42</v>
      </c>
      <c r="P15" s="13" t="s">
        <v>43</v>
      </c>
      <c r="Q15" s="19" t="s">
        <v>44</v>
      </c>
      <c r="R15" s="1"/>
      <c r="S15" s="1"/>
      <c r="T15" s="1"/>
      <c r="U15" s="1"/>
      <c r="V15" s="1"/>
      <c r="W15" s="1"/>
      <c r="X15" s="1"/>
      <c r="Y15" s="1"/>
      <c r="Z15" s="1"/>
      <c r="AA15" s="1"/>
      <c r="AB15" s="1"/>
      <c r="AC15" s="1"/>
      <c r="AD15" s="1"/>
      <c r="AE15" s="1"/>
    </row>
    <row r="16" spans="1:31" ht="25" x14ac:dyDescent="0.25">
      <c r="A16" s="1"/>
      <c r="B16" s="128"/>
      <c r="C16" s="90" t="s">
        <v>45</v>
      </c>
      <c r="D16" s="21" t="s">
        <v>25</v>
      </c>
      <c r="E16" s="22">
        <v>45692</v>
      </c>
      <c r="F16" s="21">
        <v>2</v>
      </c>
      <c r="G16" s="22">
        <v>45816</v>
      </c>
      <c r="H16" s="23"/>
      <c r="I16" s="24"/>
      <c r="J16" s="25"/>
      <c r="K16" s="24"/>
      <c r="L16" s="21">
        <v>3</v>
      </c>
      <c r="M16" s="21">
        <v>2</v>
      </c>
      <c r="N16" s="21" t="s">
        <v>26</v>
      </c>
      <c r="O16" s="21" t="s">
        <v>46</v>
      </c>
      <c r="P16" s="21" t="s">
        <v>46</v>
      </c>
      <c r="Q16" s="26" t="s">
        <v>47</v>
      </c>
      <c r="R16" s="1"/>
      <c r="S16" s="1"/>
      <c r="T16" s="1"/>
      <c r="U16" s="1"/>
      <c r="V16" s="1"/>
      <c r="W16" s="1"/>
      <c r="X16" s="1"/>
      <c r="Y16" s="1"/>
      <c r="Z16" s="1"/>
      <c r="AA16" s="1"/>
      <c r="AB16" s="1"/>
      <c r="AC16" s="1"/>
      <c r="AD16" s="1"/>
      <c r="AE16" s="1"/>
    </row>
    <row r="17" spans="1:31" ht="25" x14ac:dyDescent="0.25">
      <c r="A17" s="1"/>
      <c r="B17" s="128"/>
      <c r="C17" s="20" t="s">
        <v>24</v>
      </c>
      <c r="D17" s="21" t="s">
        <v>25</v>
      </c>
      <c r="E17" s="22">
        <v>45692</v>
      </c>
      <c r="F17" s="21">
        <v>2</v>
      </c>
      <c r="G17" s="22">
        <v>45816</v>
      </c>
      <c r="H17" s="23"/>
      <c r="I17" s="24"/>
      <c r="J17" s="25"/>
      <c r="K17" s="24"/>
      <c r="L17" s="21">
        <v>2</v>
      </c>
      <c r="M17" s="21">
        <v>1</v>
      </c>
      <c r="N17" s="21" t="s">
        <v>26</v>
      </c>
      <c r="O17" s="20" t="s">
        <v>27</v>
      </c>
      <c r="P17" s="20" t="s">
        <v>28</v>
      </c>
      <c r="Q17" s="26" t="s">
        <v>29</v>
      </c>
      <c r="R17" s="1"/>
      <c r="S17" s="1"/>
      <c r="T17" s="1"/>
      <c r="U17" s="1"/>
      <c r="V17" s="1"/>
      <c r="W17" s="1"/>
      <c r="X17" s="1"/>
      <c r="Y17" s="1"/>
      <c r="Z17" s="1"/>
      <c r="AA17" s="1"/>
      <c r="AB17" s="1"/>
      <c r="AC17" s="1"/>
      <c r="AD17" s="1"/>
      <c r="AE17" s="1"/>
    </row>
    <row r="18" spans="1:31" ht="25" x14ac:dyDescent="0.25">
      <c r="A18" s="1"/>
      <c r="B18" s="128"/>
      <c r="C18" s="20" t="s">
        <v>31</v>
      </c>
      <c r="D18" s="21" t="s">
        <v>25</v>
      </c>
      <c r="E18" s="21" t="s">
        <v>32</v>
      </c>
      <c r="F18" s="21">
        <v>1</v>
      </c>
      <c r="G18" s="22">
        <v>45879</v>
      </c>
      <c r="H18" s="23"/>
      <c r="I18" s="24"/>
      <c r="J18" s="25"/>
      <c r="K18" s="24"/>
      <c r="L18" s="21">
        <v>0</v>
      </c>
      <c r="M18" s="21" t="s">
        <v>25</v>
      </c>
      <c r="N18" s="21" t="s">
        <v>30</v>
      </c>
      <c r="O18" s="20" t="s">
        <v>33</v>
      </c>
      <c r="P18" s="20" t="s">
        <v>34</v>
      </c>
      <c r="Q18" s="26" t="s">
        <v>35</v>
      </c>
      <c r="R18" s="1"/>
      <c r="S18" s="1"/>
      <c r="T18" s="1"/>
      <c r="U18" s="1"/>
      <c r="V18" s="1"/>
      <c r="W18" s="1"/>
      <c r="X18" s="1"/>
      <c r="Y18" s="1"/>
      <c r="Z18" s="1"/>
      <c r="AA18" s="1"/>
      <c r="AB18" s="1"/>
      <c r="AC18" s="1"/>
      <c r="AD18" s="1"/>
      <c r="AE18" s="1"/>
    </row>
    <row r="19" spans="1:31" ht="25" x14ac:dyDescent="0.25">
      <c r="A19" s="1"/>
      <c r="B19" s="128"/>
      <c r="C19" s="20" t="s">
        <v>36</v>
      </c>
      <c r="D19" s="21" t="s">
        <v>25</v>
      </c>
      <c r="E19" s="22">
        <v>45659</v>
      </c>
      <c r="F19" s="21">
        <v>2</v>
      </c>
      <c r="G19" s="22">
        <v>45816</v>
      </c>
      <c r="H19" s="23"/>
      <c r="I19" s="24"/>
      <c r="J19" s="25"/>
      <c r="K19" s="24"/>
      <c r="L19" s="21">
        <v>2</v>
      </c>
      <c r="M19" s="21">
        <v>1</v>
      </c>
      <c r="N19" s="21" t="s">
        <v>37</v>
      </c>
      <c r="O19" s="20" t="s">
        <v>38</v>
      </c>
      <c r="P19" s="20" t="s">
        <v>39</v>
      </c>
      <c r="Q19" s="26" t="s">
        <v>40</v>
      </c>
      <c r="R19" s="1"/>
      <c r="S19" s="1"/>
      <c r="T19" s="1"/>
      <c r="U19" s="1"/>
      <c r="V19" s="1"/>
      <c r="W19" s="1"/>
      <c r="X19" s="1"/>
      <c r="Y19" s="1"/>
      <c r="Z19" s="1"/>
      <c r="AA19" s="1"/>
      <c r="AB19" s="1"/>
      <c r="AC19" s="1"/>
      <c r="AD19" s="1"/>
      <c r="AE19" s="1"/>
    </row>
    <row r="20" spans="1:31" ht="37.5" x14ac:dyDescent="0.25">
      <c r="A20" s="1"/>
      <c r="B20" s="129"/>
      <c r="C20" s="20" t="s">
        <v>52</v>
      </c>
      <c r="D20" s="21" t="s">
        <v>25</v>
      </c>
      <c r="E20" s="21" t="s">
        <v>32</v>
      </c>
      <c r="F20" s="21">
        <v>1</v>
      </c>
      <c r="G20" s="22">
        <v>45816</v>
      </c>
      <c r="H20" s="23"/>
      <c r="I20" s="24"/>
      <c r="J20" s="25"/>
      <c r="K20" s="24"/>
      <c r="L20" s="21">
        <v>0</v>
      </c>
      <c r="M20" s="21" t="s">
        <v>25</v>
      </c>
      <c r="N20" s="21" t="s">
        <v>30</v>
      </c>
      <c r="O20" s="20" t="s">
        <v>53</v>
      </c>
      <c r="P20" s="20" t="s">
        <v>54</v>
      </c>
      <c r="Q20" s="26" t="s">
        <v>55</v>
      </c>
      <c r="R20" s="1"/>
      <c r="S20" s="1"/>
      <c r="T20" s="1"/>
      <c r="U20" s="1"/>
      <c r="V20" s="1"/>
      <c r="W20" s="1"/>
      <c r="X20" s="1"/>
      <c r="Y20" s="1"/>
      <c r="Z20" s="1"/>
      <c r="AA20" s="1"/>
      <c r="AB20" s="1"/>
      <c r="AC20" s="1"/>
      <c r="AD20" s="1"/>
      <c r="AE20" s="1"/>
    </row>
    <row r="21" spans="1:31" ht="13" x14ac:dyDescent="0.25">
      <c r="A21" s="1"/>
      <c r="B21" s="167" t="s">
        <v>141</v>
      </c>
      <c r="C21" s="168"/>
      <c r="D21" s="168"/>
      <c r="E21" s="168"/>
      <c r="F21" s="168"/>
      <c r="G21" s="168"/>
      <c r="H21" s="168"/>
      <c r="I21" s="168"/>
      <c r="J21" s="168"/>
      <c r="K21" s="168"/>
      <c r="L21" s="168"/>
      <c r="M21" s="168"/>
      <c r="N21" s="168"/>
      <c r="O21" s="168"/>
      <c r="P21" s="168"/>
      <c r="Q21" s="169"/>
      <c r="R21" s="1"/>
      <c r="S21" s="1"/>
      <c r="T21" s="1"/>
      <c r="U21" s="1"/>
      <c r="V21" s="1"/>
      <c r="W21" s="1"/>
      <c r="X21" s="1"/>
      <c r="Y21" s="1"/>
      <c r="Z21" s="1"/>
      <c r="AA21" s="1"/>
      <c r="AB21" s="1"/>
      <c r="AC21" s="1"/>
      <c r="AD21" s="1"/>
      <c r="AE21" s="1"/>
    </row>
    <row r="22" spans="1:31" ht="25" x14ac:dyDescent="0.25">
      <c r="A22" s="1"/>
      <c r="B22" s="130" t="s">
        <v>142</v>
      </c>
      <c r="C22" s="72" t="s">
        <v>56</v>
      </c>
      <c r="D22" s="73" t="s">
        <v>25</v>
      </c>
      <c r="E22" s="74">
        <v>45691</v>
      </c>
      <c r="F22" s="75">
        <v>2</v>
      </c>
      <c r="G22" s="74">
        <v>45879</v>
      </c>
      <c r="H22" s="76"/>
      <c r="I22" s="77"/>
      <c r="J22" s="76"/>
      <c r="K22" s="77"/>
      <c r="L22" s="75">
        <v>2</v>
      </c>
      <c r="M22" s="75">
        <v>1</v>
      </c>
      <c r="N22" s="75" t="s">
        <v>37</v>
      </c>
      <c r="O22" s="72" t="s">
        <v>57</v>
      </c>
      <c r="P22" s="72" t="s">
        <v>39</v>
      </c>
      <c r="Q22" s="78" t="s">
        <v>58</v>
      </c>
      <c r="R22" s="1"/>
      <c r="S22" s="1"/>
      <c r="T22" s="1"/>
      <c r="U22" s="1"/>
      <c r="V22" s="1"/>
      <c r="W22" s="1"/>
      <c r="X22" s="1"/>
      <c r="Y22" s="1"/>
      <c r="Z22" s="1"/>
      <c r="AA22" s="1"/>
      <c r="AB22" s="1"/>
      <c r="AC22" s="1"/>
      <c r="AD22" s="1"/>
      <c r="AE22" s="1"/>
    </row>
    <row r="23" spans="1:31" ht="25" x14ac:dyDescent="0.25">
      <c r="A23" s="1"/>
      <c r="B23" s="128"/>
      <c r="C23" s="27" t="s">
        <v>59</v>
      </c>
      <c r="D23" s="5" t="s">
        <v>25</v>
      </c>
      <c r="E23" s="79">
        <v>45691</v>
      </c>
      <c r="F23" s="1">
        <v>2</v>
      </c>
      <c r="G23" s="79">
        <v>45879</v>
      </c>
      <c r="H23" s="80"/>
      <c r="I23" s="81"/>
      <c r="J23" s="80"/>
      <c r="K23" s="81"/>
      <c r="L23" s="1">
        <v>2</v>
      </c>
      <c r="M23" s="1">
        <v>1</v>
      </c>
      <c r="N23" s="1" t="s">
        <v>37</v>
      </c>
      <c r="O23" s="27" t="s">
        <v>60</v>
      </c>
      <c r="P23" s="27" t="s">
        <v>61</v>
      </c>
      <c r="Q23" s="82" t="s">
        <v>62</v>
      </c>
      <c r="R23" s="1"/>
      <c r="S23" s="1"/>
      <c r="T23" s="1"/>
      <c r="U23" s="1"/>
      <c r="V23" s="1"/>
      <c r="W23" s="1"/>
      <c r="X23" s="1"/>
      <c r="Y23" s="1"/>
      <c r="Z23" s="1"/>
      <c r="AA23" s="1"/>
      <c r="AB23" s="1"/>
      <c r="AC23" s="1"/>
      <c r="AD23" s="1"/>
      <c r="AE23" s="1"/>
    </row>
    <row r="24" spans="1:31" x14ac:dyDescent="0.25">
      <c r="A24" s="1"/>
      <c r="B24" s="128"/>
      <c r="C24" s="27" t="s">
        <v>63</v>
      </c>
      <c r="D24" s="5" t="s">
        <v>25</v>
      </c>
      <c r="E24" s="79">
        <v>45659</v>
      </c>
      <c r="F24" s="1">
        <v>1</v>
      </c>
      <c r="G24" s="79">
        <v>45816</v>
      </c>
      <c r="H24" s="80"/>
      <c r="I24" s="81"/>
      <c r="J24" s="80"/>
      <c r="K24" s="81"/>
      <c r="L24" s="1">
        <v>1</v>
      </c>
      <c r="M24" s="1" t="s">
        <v>25</v>
      </c>
      <c r="N24" s="1" t="s">
        <v>30</v>
      </c>
      <c r="O24" s="27" t="s">
        <v>64</v>
      </c>
      <c r="P24" s="27" t="s">
        <v>65</v>
      </c>
      <c r="Q24" s="82" t="s">
        <v>66</v>
      </c>
      <c r="R24" s="1"/>
      <c r="S24" s="1"/>
      <c r="T24" s="1"/>
      <c r="U24" s="1"/>
      <c r="V24" s="1"/>
      <c r="W24" s="1"/>
      <c r="X24" s="1"/>
      <c r="Y24" s="1"/>
      <c r="Z24" s="1"/>
      <c r="AA24" s="1"/>
      <c r="AB24" s="1"/>
      <c r="AC24" s="1"/>
      <c r="AD24" s="1"/>
      <c r="AE24" s="1"/>
    </row>
    <row r="25" spans="1:31" ht="25" x14ac:dyDescent="0.25">
      <c r="A25" s="1"/>
      <c r="B25" s="128"/>
      <c r="C25" s="27" t="s">
        <v>67</v>
      </c>
      <c r="D25" s="5" t="s">
        <v>25</v>
      </c>
      <c r="E25" s="79">
        <v>45692</v>
      </c>
      <c r="F25" s="1">
        <v>2</v>
      </c>
      <c r="G25" s="79">
        <v>45879</v>
      </c>
      <c r="H25" s="80"/>
      <c r="I25" s="81"/>
      <c r="J25" s="80"/>
      <c r="K25" s="81"/>
      <c r="L25" s="1">
        <v>2</v>
      </c>
      <c r="M25" s="1">
        <v>1</v>
      </c>
      <c r="N25" s="1" t="s">
        <v>26</v>
      </c>
      <c r="O25" s="27" t="s">
        <v>68</v>
      </c>
      <c r="P25" s="27" t="s">
        <v>69</v>
      </c>
      <c r="Q25" s="82" t="s">
        <v>70</v>
      </c>
      <c r="R25" s="1"/>
      <c r="S25" s="1"/>
      <c r="T25" s="1"/>
      <c r="U25" s="1"/>
      <c r="V25" s="1"/>
      <c r="W25" s="1"/>
      <c r="X25" s="1"/>
      <c r="Y25" s="1"/>
      <c r="Z25" s="1"/>
      <c r="AA25" s="1"/>
      <c r="AB25" s="1"/>
      <c r="AC25" s="1"/>
      <c r="AD25" s="1"/>
      <c r="AE25" s="1"/>
    </row>
    <row r="26" spans="1:31" ht="25" x14ac:dyDescent="0.25">
      <c r="A26" s="1"/>
      <c r="B26" s="128"/>
      <c r="C26" s="27" t="s">
        <v>71</v>
      </c>
      <c r="D26" s="5" t="s">
        <v>25</v>
      </c>
      <c r="E26" s="1" t="s">
        <v>32</v>
      </c>
      <c r="F26" s="1">
        <v>2</v>
      </c>
      <c r="G26" s="79">
        <v>45879</v>
      </c>
      <c r="H26" s="80"/>
      <c r="I26" s="81"/>
      <c r="J26" s="80"/>
      <c r="K26" s="81"/>
      <c r="L26" s="1">
        <v>1</v>
      </c>
      <c r="M26" s="1">
        <v>0</v>
      </c>
      <c r="N26" s="1" t="s">
        <v>30</v>
      </c>
      <c r="O26" s="27" t="s">
        <v>72</v>
      </c>
      <c r="P26" s="27" t="s">
        <v>34</v>
      </c>
      <c r="Q26" s="82" t="s">
        <v>73</v>
      </c>
      <c r="R26" s="1"/>
      <c r="S26" s="1"/>
      <c r="T26" s="1"/>
      <c r="U26" s="1"/>
      <c r="V26" s="1"/>
      <c r="W26" s="1"/>
      <c r="X26" s="1"/>
      <c r="Y26" s="1"/>
      <c r="Z26" s="1"/>
      <c r="AA26" s="1"/>
      <c r="AB26" s="1"/>
      <c r="AC26" s="1"/>
      <c r="AD26" s="1"/>
      <c r="AE26" s="1"/>
    </row>
    <row r="27" spans="1:31" ht="25" x14ac:dyDescent="0.25">
      <c r="A27" s="1"/>
      <c r="B27" s="128"/>
      <c r="C27" s="27" t="s">
        <v>74</v>
      </c>
      <c r="D27" s="5" t="s">
        <v>25</v>
      </c>
      <c r="E27" s="1" t="s">
        <v>32</v>
      </c>
      <c r="F27" s="1">
        <v>1</v>
      </c>
      <c r="G27" s="79">
        <v>45879</v>
      </c>
      <c r="H27" s="80"/>
      <c r="I27" s="81"/>
      <c r="J27" s="80"/>
      <c r="K27" s="81"/>
      <c r="L27" s="1">
        <v>0</v>
      </c>
      <c r="M27" s="1" t="s">
        <v>25</v>
      </c>
      <c r="N27" s="1" t="s">
        <v>30</v>
      </c>
      <c r="O27" s="27" t="s">
        <v>75</v>
      </c>
      <c r="P27" s="20" t="s">
        <v>76</v>
      </c>
      <c r="Q27" s="82" t="s">
        <v>77</v>
      </c>
      <c r="R27" s="1"/>
      <c r="S27" s="1"/>
      <c r="T27" s="1"/>
      <c r="U27" s="1"/>
      <c r="V27" s="1"/>
      <c r="W27" s="1"/>
      <c r="X27" s="1"/>
      <c r="Y27" s="1"/>
      <c r="Z27" s="1"/>
      <c r="AA27" s="1"/>
      <c r="AB27" s="1"/>
      <c r="AC27" s="1"/>
      <c r="AD27" s="1"/>
      <c r="AE27" s="1"/>
    </row>
    <row r="28" spans="1:31" ht="25" x14ac:dyDescent="0.25">
      <c r="A28" s="1"/>
      <c r="B28" s="128"/>
      <c r="C28" s="27" t="s">
        <v>78</v>
      </c>
      <c r="D28" s="5" t="s">
        <v>25</v>
      </c>
      <c r="E28" s="1" t="s">
        <v>32</v>
      </c>
      <c r="F28" s="1">
        <v>2</v>
      </c>
      <c r="G28" s="79">
        <v>45816</v>
      </c>
      <c r="H28" s="80"/>
      <c r="I28" s="81"/>
      <c r="J28" s="80"/>
      <c r="K28" s="81"/>
      <c r="L28" s="1">
        <v>1</v>
      </c>
      <c r="M28" s="1">
        <v>0</v>
      </c>
      <c r="N28" s="1" t="s">
        <v>30</v>
      </c>
      <c r="O28" s="20" t="s">
        <v>79</v>
      </c>
      <c r="P28" s="20" t="s">
        <v>80</v>
      </c>
      <c r="Q28" s="82" t="s">
        <v>81</v>
      </c>
      <c r="R28" s="1"/>
      <c r="S28" s="1"/>
      <c r="T28" s="1"/>
      <c r="U28" s="1"/>
      <c r="V28" s="1"/>
      <c r="W28" s="1"/>
      <c r="X28" s="1"/>
      <c r="Y28" s="1"/>
      <c r="Z28" s="1"/>
      <c r="AA28" s="1"/>
      <c r="AB28" s="1"/>
      <c r="AC28" s="1"/>
      <c r="AD28" s="1"/>
      <c r="AE28" s="1"/>
    </row>
    <row r="29" spans="1:31" ht="37.5" x14ac:dyDescent="0.25">
      <c r="A29" s="1"/>
      <c r="B29" s="130" t="s">
        <v>143</v>
      </c>
      <c r="C29" s="72" t="s">
        <v>48</v>
      </c>
      <c r="D29" s="73" t="s">
        <v>25</v>
      </c>
      <c r="E29" s="74">
        <v>45659</v>
      </c>
      <c r="F29" s="75">
        <v>2</v>
      </c>
      <c r="G29" s="74">
        <v>45879</v>
      </c>
      <c r="H29" s="76"/>
      <c r="I29" s="77"/>
      <c r="J29" s="76"/>
      <c r="K29" s="77"/>
      <c r="L29" s="75">
        <v>1</v>
      </c>
      <c r="M29" s="75">
        <v>0</v>
      </c>
      <c r="N29" s="75" t="s">
        <v>30</v>
      </c>
      <c r="O29" s="72" t="s">
        <v>49</v>
      </c>
      <c r="P29" s="72" t="s">
        <v>50</v>
      </c>
      <c r="Q29" s="78" t="s">
        <v>51</v>
      </c>
      <c r="R29" s="1"/>
      <c r="S29" s="1"/>
      <c r="T29" s="1"/>
      <c r="U29" s="1"/>
      <c r="V29" s="1"/>
      <c r="W29" s="1"/>
      <c r="X29" s="1"/>
      <c r="Y29" s="1"/>
      <c r="Z29" s="1"/>
      <c r="AA29" s="1"/>
      <c r="AB29" s="1"/>
      <c r="AC29" s="1"/>
      <c r="AD29" s="1"/>
      <c r="AE29" s="1"/>
    </row>
    <row r="30" spans="1:31" ht="37.5" x14ac:dyDescent="0.25">
      <c r="A30" s="1"/>
      <c r="B30" s="128"/>
      <c r="C30" s="27" t="s">
        <v>82</v>
      </c>
      <c r="D30" s="5" t="s">
        <v>25</v>
      </c>
      <c r="E30" s="79">
        <v>45691</v>
      </c>
      <c r="F30" s="1">
        <v>2</v>
      </c>
      <c r="G30" s="79">
        <v>45816</v>
      </c>
      <c r="H30" s="80"/>
      <c r="I30" s="81"/>
      <c r="J30" s="80"/>
      <c r="K30" s="81"/>
      <c r="L30" s="1">
        <v>3</v>
      </c>
      <c r="M30" s="1">
        <v>2</v>
      </c>
      <c r="N30" s="1" t="s">
        <v>37</v>
      </c>
      <c r="O30" s="27" t="s">
        <v>83</v>
      </c>
      <c r="P30" s="27" t="s">
        <v>84</v>
      </c>
      <c r="Q30" s="82" t="s">
        <v>85</v>
      </c>
      <c r="R30" s="1"/>
      <c r="S30" s="1"/>
      <c r="T30" s="1"/>
      <c r="U30" s="1"/>
      <c r="V30" s="1"/>
      <c r="W30" s="1"/>
      <c r="X30" s="1"/>
      <c r="Y30" s="1"/>
      <c r="Z30" s="1"/>
      <c r="AA30" s="1"/>
      <c r="AB30" s="1"/>
      <c r="AC30" s="1"/>
      <c r="AD30" s="1"/>
      <c r="AE30" s="1"/>
    </row>
    <row r="31" spans="1:31" x14ac:dyDescent="0.25">
      <c r="A31" s="1"/>
      <c r="B31" s="128"/>
      <c r="C31" s="27" t="s">
        <v>86</v>
      </c>
      <c r="D31" s="5" t="s">
        <v>25</v>
      </c>
      <c r="E31" s="79">
        <v>45692</v>
      </c>
      <c r="F31" s="1">
        <v>2</v>
      </c>
      <c r="G31" s="79">
        <v>45816</v>
      </c>
      <c r="H31" s="80"/>
      <c r="I31" s="81"/>
      <c r="J31" s="80"/>
      <c r="K31" s="81"/>
      <c r="L31" s="1">
        <v>2</v>
      </c>
      <c r="M31" s="1">
        <v>1</v>
      </c>
      <c r="N31" s="1" t="s">
        <v>37</v>
      </c>
      <c r="O31" s="27" t="s">
        <v>87</v>
      </c>
      <c r="P31" s="27" t="s">
        <v>88</v>
      </c>
      <c r="Q31" s="82" t="s">
        <v>89</v>
      </c>
      <c r="R31" s="1"/>
      <c r="S31" s="1"/>
      <c r="T31" s="1"/>
      <c r="U31" s="1"/>
      <c r="V31" s="1"/>
      <c r="W31" s="1"/>
      <c r="X31" s="1"/>
      <c r="Y31" s="1"/>
      <c r="Z31" s="1"/>
      <c r="AA31" s="1"/>
      <c r="AB31" s="1"/>
      <c r="AC31" s="1"/>
      <c r="AD31" s="1"/>
      <c r="AE31" s="1"/>
    </row>
    <row r="32" spans="1:31" ht="25" x14ac:dyDescent="0.25">
      <c r="A32" s="1"/>
      <c r="B32" s="128"/>
      <c r="C32" s="27" t="s">
        <v>90</v>
      </c>
      <c r="D32" s="5" t="s">
        <v>25</v>
      </c>
      <c r="E32" s="79">
        <v>45692</v>
      </c>
      <c r="F32" s="1">
        <v>1</v>
      </c>
      <c r="G32" s="79">
        <v>45816</v>
      </c>
      <c r="H32" s="80"/>
      <c r="I32" s="81"/>
      <c r="J32" s="80"/>
      <c r="K32" s="81"/>
      <c r="L32" s="1">
        <v>1</v>
      </c>
      <c r="M32" s="1" t="s">
        <v>25</v>
      </c>
      <c r="N32" s="1" t="s">
        <v>37</v>
      </c>
      <c r="O32" s="27" t="s">
        <v>91</v>
      </c>
      <c r="P32" s="27" t="s">
        <v>92</v>
      </c>
      <c r="Q32" s="82" t="s">
        <v>93</v>
      </c>
      <c r="R32" s="1"/>
      <c r="S32" s="1"/>
      <c r="T32" s="1"/>
      <c r="U32" s="1"/>
      <c r="V32" s="1"/>
      <c r="W32" s="1"/>
      <c r="X32" s="1"/>
      <c r="Y32" s="1"/>
      <c r="Z32" s="1"/>
      <c r="AA32" s="1"/>
      <c r="AB32" s="1"/>
      <c r="AC32" s="1"/>
      <c r="AD32" s="1"/>
      <c r="AE32" s="1"/>
    </row>
    <row r="33" spans="1:31" ht="37.5" x14ac:dyDescent="0.25">
      <c r="A33" s="1"/>
      <c r="B33" s="131"/>
      <c r="C33" s="83" t="s">
        <v>52</v>
      </c>
      <c r="D33" s="84" t="s">
        <v>25</v>
      </c>
      <c r="E33" s="85" t="s">
        <v>32</v>
      </c>
      <c r="F33" s="85">
        <v>2</v>
      </c>
      <c r="G33" s="86">
        <v>45879</v>
      </c>
      <c r="H33" s="87"/>
      <c r="I33" s="88"/>
      <c r="J33" s="87"/>
      <c r="K33" s="88"/>
      <c r="L33" s="85">
        <v>1</v>
      </c>
      <c r="M33" s="85">
        <v>0</v>
      </c>
      <c r="N33" s="85" t="s">
        <v>30</v>
      </c>
      <c r="O33" s="83" t="s">
        <v>53</v>
      </c>
      <c r="P33" s="83" t="s">
        <v>54</v>
      </c>
      <c r="Q33" s="89" t="s">
        <v>55</v>
      </c>
      <c r="R33" s="1"/>
      <c r="S33" s="1"/>
      <c r="T33" s="1"/>
      <c r="U33" s="1"/>
      <c r="V33" s="1"/>
      <c r="W33" s="1"/>
      <c r="X33" s="1"/>
      <c r="Y33" s="1"/>
      <c r="Z33" s="1"/>
      <c r="AA33" s="1"/>
      <c r="AB33" s="1"/>
      <c r="AC33" s="1"/>
      <c r="AD33" s="1"/>
      <c r="AE33" s="1"/>
    </row>
    <row r="34" spans="1:31" ht="37.5" x14ac:dyDescent="0.25">
      <c r="A34" s="1"/>
      <c r="B34" s="130" t="s">
        <v>94</v>
      </c>
      <c r="C34" s="27" t="s">
        <v>95</v>
      </c>
      <c r="D34" s="5" t="s">
        <v>25</v>
      </c>
      <c r="E34" s="1" t="s">
        <v>32</v>
      </c>
      <c r="F34" s="1">
        <v>2</v>
      </c>
      <c r="G34" s="79">
        <v>45816</v>
      </c>
      <c r="H34" s="80"/>
      <c r="I34" s="81"/>
      <c r="J34" s="80"/>
      <c r="K34" s="81"/>
      <c r="L34" s="1">
        <v>1</v>
      </c>
      <c r="M34" s="1">
        <v>0</v>
      </c>
      <c r="N34" s="1" t="s">
        <v>30</v>
      </c>
      <c r="O34" s="27" t="s">
        <v>96</v>
      </c>
      <c r="P34" s="27" t="s">
        <v>97</v>
      </c>
      <c r="Q34" s="82" t="s">
        <v>98</v>
      </c>
      <c r="R34" s="1"/>
      <c r="S34" s="1"/>
      <c r="T34" s="1"/>
      <c r="U34" s="1"/>
      <c r="V34" s="1"/>
      <c r="W34" s="1"/>
      <c r="X34" s="1"/>
      <c r="Y34" s="1"/>
      <c r="Z34" s="1"/>
      <c r="AA34" s="1"/>
      <c r="AB34" s="1"/>
      <c r="AC34" s="1"/>
      <c r="AD34" s="1"/>
      <c r="AE34" s="1"/>
    </row>
    <row r="35" spans="1:31" ht="25" x14ac:dyDescent="0.25">
      <c r="A35" s="1"/>
      <c r="B35" s="128"/>
      <c r="C35" s="27" t="s">
        <v>99</v>
      </c>
      <c r="D35" s="5" t="s">
        <v>25</v>
      </c>
      <c r="E35" s="1" t="s">
        <v>32</v>
      </c>
      <c r="F35" s="1">
        <v>2</v>
      </c>
      <c r="G35" s="79">
        <v>45879</v>
      </c>
      <c r="H35" s="80"/>
      <c r="I35" s="81"/>
      <c r="J35" s="80"/>
      <c r="K35" s="81"/>
      <c r="L35" s="1">
        <v>1</v>
      </c>
      <c r="M35" s="1">
        <v>0</v>
      </c>
      <c r="N35" s="1" t="s">
        <v>30</v>
      </c>
      <c r="O35" s="27" t="s">
        <v>100</v>
      </c>
      <c r="P35" s="27" t="s">
        <v>101</v>
      </c>
      <c r="Q35" s="82" t="s">
        <v>102</v>
      </c>
      <c r="R35" s="1"/>
      <c r="S35" s="1"/>
      <c r="T35" s="1"/>
      <c r="U35" s="1"/>
      <c r="V35" s="1"/>
      <c r="W35" s="1"/>
      <c r="X35" s="1"/>
      <c r="Y35" s="1"/>
      <c r="Z35" s="1"/>
      <c r="AA35" s="1"/>
      <c r="AB35" s="1"/>
      <c r="AC35" s="1"/>
      <c r="AD35" s="1"/>
      <c r="AE35" s="1"/>
    </row>
    <row r="36" spans="1:31" ht="25" x14ac:dyDescent="0.25">
      <c r="A36" s="1"/>
      <c r="B36" s="128"/>
      <c r="C36" s="27" t="s">
        <v>103</v>
      </c>
      <c r="D36" s="5" t="s">
        <v>25</v>
      </c>
      <c r="E36" s="1" t="s">
        <v>32</v>
      </c>
      <c r="F36" s="1">
        <v>1</v>
      </c>
      <c r="G36" s="79">
        <v>45879</v>
      </c>
      <c r="H36" s="80"/>
      <c r="I36" s="81"/>
      <c r="J36" s="80"/>
      <c r="K36" s="81"/>
      <c r="L36" s="1">
        <v>0</v>
      </c>
      <c r="M36" s="1" t="s">
        <v>25</v>
      </c>
      <c r="N36" s="1" t="s">
        <v>30</v>
      </c>
      <c r="O36" s="27" t="s">
        <v>104</v>
      </c>
      <c r="P36" s="27" t="s">
        <v>105</v>
      </c>
      <c r="Q36" s="82" t="s">
        <v>106</v>
      </c>
      <c r="R36" s="1"/>
      <c r="S36" s="1"/>
      <c r="T36" s="1"/>
      <c r="U36" s="1"/>
      <c r="V36" s="1"/>
      <c r="W36" s="1"/>
      <c r="X36" s="1"/>
      <c r="Y36" s="1"/>
      <c r="Z36" s="1"/>
      <c r="AA36" s="1"/>
      <c r="AB36" s="1"/>
      <c r="AC36" s="1"/>
      <c r="AD36" s="1"/>
      <c r="AE36" s="1"/>
    </row>
    <row r="37" spans="1:31" x14ac:dyDescent="0.25">
      <c r="A37" s="1"/>
      <c r="B37" s="128"/>
      <c r="C37" s="27" t="s">
        <v>107</v>
      </c>
      <c r="D37" s="5" t="s">
        <v>25</v>
      </c>
      <c r="E37" s="1" t="s">
        <v>32</v>
      </c>
      <c r="F37" s="1">
        <v>2</v>
      </c>
      <c r="G37" s="79">
        <v>45879</v>
      </c>
      <c r="H37" s="80"/>
      <c r="I37" s="81"/>
      <c r="J37" s="80"/>
      <c r="K37" s="81"/>
      <c r="L37" s="1">
        <v>1</v>
      </c>
      <c r="M37" s="1">
        <v>0</v>
      </c>
      <c r="N37" s="1" t="s">
        <v>30</v>
      </c>
      <c r="O37" s="27" t="s">
        <v>108</v>
      </c>
      <c r="P37" s="27" t="s">
        <v>109</v>
      </c>
      <c r="Q37" s="82" t="s">
        <v>110</v>
      </c>
      <c r="R37" s="1"/>
      <c r="S37" s="1"/>
      <c r="T37" s="1"/>
      <c r="U37" s="1"/>
      <c r="V37" s="1"/>
      <c r="W37" s="1"/>
      <c r="X37" s="1"/>
      <c r="Y37" s="1"/>
      <c r="Z37" s="1"/>
      <c r="AA37" s="1"/>
      <c r="AB37" s="1"/>
      <c r="AC37" s="1"/>
      <c r="AD37" s="1"/>
      <c r="AE37" s="1"/>
    </row>
    <row r="38" spans="1:31" x14ac:dyDescent="0.25">
      <c r="A38" s="1"/>
      <c r="B38" s="128"/>
      <c r="C38" s="27" t="s">
        <v>111</v>
      </c>
      <c r="D38" s="5" t="s">
        <v>25</v>
      </c>
      <c r="E38" s="1" t="s">
        <v>32</v>
      </c>
      <c r="F38" s="1">
        <v>2</v>
      </c>
      <c r="G38" s="79">
        <v>45879</v>
      </c>
      <c r="H38" s="80"/>
      <c r="I38" s="81"/>
      <c r="J38" s="80"/>
      <c r="K38" s="81"/>
      <c r="L38" s="1">
        <v>1</v>
      </c>
      <c r="M38" s="1">
        <v>0</v>
      </c>
      <c r="N38" s="1" t="s">
        <v>30</v>
      </c>
      <c r="O38" s="27" t="s">
        <v>112</v>
      </c>
      <c r="P38" s="5" t="s">
        <v>25</v>
      </c>
      <c r="Q38" s="82" t="s">
        <v>113</v>
      </c>
      <c r="R38" s="1"/>
      <c r="S38" s="1"/>
      <c r="T38" s="1"/>
      <c r="U38" s="1"/>
      <c r="V38" s="1"/>
      <c r="W38" s="1"/>
      <c r="X38" s="1"/>
      <c r="Y38" s="1"/>
      <c r="Z38" s="1"/>
      <c r="AA38" s="1"/>
      <c r="AB38" s="1"/>
      <c r="AC38" s="1"/>
      <c r="AD38" s="1"/>
      <c r="AE38" s="1"/>
    </row>
    <row r="39" spans="1:31" x14ac:dyDescent="0.25">
      <c r="A39" s="1"/>
      <c r="B39" s="128"/>
      <c r="C39" s="27" t="s">
        <v>114</v>
      </c>
      <c r="D39" s="5" t="s">
        <v>25</v>
      </c>
      <c r="E39" s="1" t="s">
        <v>32</v>
      </c>
      <c r="F39" s="1">
        <v>2</v>
      </c>
      <c r="G39" s="79">
        <v>45879</v>
      </c>
      <c r="H39" s="80"/>
      <c r="I39" s="81"/>
      <c r="J39" s="80"/>
      <c r="K39" s="81"/>
      <c r="L39" s="1">
        <v>1</v>
      </c>
      <c r="M39" s="1">
        <v>0</v>
      </c>
      <c r="N39" s="1" t="s">
        <v>30</v>
      </c>
      <c r="O39" s="27" t="s">
        <v>115</v>
      </c>
      <c r="P39" s="5" t="s">
        <v>25</v>
      </c>
      <c r="Q39" s="82" t="s">
        <v>113</v>
      </c>
      <c r="R39" s="1"/>
      <c r="S39" s="1"/>
      <c r="T39" s="1"/>
      <c r="U39" s="1"/>
      <c r="V39" s="1"/>
      <c r="W39" s="1"/>
      <c r="X39" s="1"/>
      <c r="Y39" s="1"/>
      <c r="Z39" s="1"/>
      <c r="AA39" s="1"/>
      <c r="AB39" s="1"/>
      <c r="AC39" s="1"/>
      <c r="AD39" s="1"/>
      <c r="AE39" s="1"/>
    </row>
    <row r="40" spans="1:31" x14ac:dyDescent="0.25">
      <c r="A40" s="1"/>
      <c r="B40" s="128"/>
      <c r="C40" s="27" t="s">
        <v>116</v>
      </c>
      <c r="D40" s="5" t="s">
        <v>25</v>
      </c>
      <c r="E40" s="1" t="s">
        <v>32</v>
      </c>
      <c r="F40" s="1">
        <v>1</v>
      </c>
      <c r="G40" s="79">
        <v>45816</v>
      </c>
      <c r="H40" s="80"/>
      <c r="I40" s="81"/>
      <c r="J40" s="80"/>
      <c r="K40" s="81"/>
      <c r="L40" s="1">
        <v>0</v>
      </c>
      <c r="M40" s="1" t="s">
        <v>25</v>
      </c>
      <c r="N40" s="1" t="s">
        <v>30</v>
      </c>
      <c r="O40" s="27" t="s">
        <v>117</v>
      </c>
      <c r="P40" s="27" t="s">
        <v>118</v>
      </c>
      <c r="Q40" s="82" t="s">
        <v>119</v>
      </c>
      <c r="R40" s="1"/>
      <c r="S40" s="1"/>
      <c r="T40" s="1"/>
      <c r="U40" s="1"/>
      <c r="V40" s="1"/>
      <c r="W40" s="1"/>
      <c r="X40" s="1"/>
      <c r="Y40" s="1"/>
      <c r="Z40" s="1"/>
      <c r="AA40" s="1"/>
      <c r="AB40" s="1"/>
      <c r="AC40" s="1"/>
      <c r="AD40" s="1"/>
      <c r="AE40" s="1"/>
    </row>
    <row r="41" spans="1:31" ht="25" x14ac:dyDescent="0.25">
      <c r="A41" s="1"/>
      <c r="B41" s="128"/>
      <c r="C41" s="27" t="s">
        <v>34</v>
      </c>
      <c r="D41" s="5" t="s">
        <v>25</v>
      </c>
      <c r="E41" s="1" t="s">
        <v>32</v>
      </c>
      <c r="F41" s="1">
        <v>2</v>
      </c>
      <c r="G41" s="79">
        <v>45879</v>
      </c>
      <c r="H41" s="80"/>
      <c r="I41" s="1"/>
      <c r="J41" s="80"/>
      <c r="K41" s="81"/>
      <c r="L41" s="1">
        <v>1</v>
      </c>
      <c r="M41" s="1">
        <v>0</v>
      </c>
      <c r="N41" s="1" t="s">
        <v>30</v>
      </c>
      <c r="O41" s="27" t="s">
        <v>71</v>
      </c>
      <c r="P41" s="27" t="s">
        <v>72</v>
      </c>
      <c r="Q41" s="82" t="s">
        <v>120</v>
      </c>
      <c r="R41" s="1"/>
      <c r="S41" s="1"/>
      <c r="T41" s="1"/>
      <c r="U41" s="1"/>
      <c r="V41" s="1"/>
      <c r="W41" s="1"/>
      <c r="X41" s="1"/>
      <c r="Y41" s="1"/>
      <c r="Z41" s="1"/>
      <c r="AA41" s="1"/>
      <c r="AB41" s="1"/>
      <c r="AC41" s="1"/>
      <c r="AD41" s="1"/>
      <c r="AE41" s="1"/>
    </row>
    <row r="42" spans="1:31" x14ac:dyDescent="0.25">
      <c r="A42" s="1"/>
      <c r="B42" s="131"/>
      <c r="C42" s="83" t="s">
        <v>121</v>
      </c>
      <c r="D42" s="84" t="s">
        <v>25</v>
      </c>
      <c r="E42" s="85" t="s">
        <v>32</v>
      </c>
      <c r="F42" s="85">
        <v>2</v>
      </c>
      <c r="G42" s="85" t="s">
        <v>25</v>
      </c>
      <c r="H42" s="87"/>
      <c r="I42" s="85"/>
      <c r="J42" s="87"/>
      <c r="K42" s="88"/>
      <c r="L42" s="85">
        <v>0</v>
      </c>
      <c r="M42" s="85">
        <v>0</v>
      </c>
      <c r="N42" s="85" t="s">
        <v>30</v>
      </c>
      <c r="O42" s="84" t="s">
        <v>25</v>
      </c>
      <c r="P42" s="84" t="s">
        <v>25</v>
      </c>
      <c r="Q42" s="28" t="s">
        <v>122</v>
      </c>
      <c r="R42" s="1"/>
      <c r="S42" s="1"/>
      <c r="T42" s="1"/>
      <c r="U42" s="1"/>
      <c r="V42" s="1"/>
      <c r="W42" s="1"/>
      <c r="X42" s="1"/>
      <c r="Y42" s="1"/>
      <c r="Z42" s="1"/>
      <c r="AA42" s="1"/>
      <c r="AB42" s="1"/>
      <c r="AC42" s="1"/>
      <c r="AD42" s="1"/>
      <c r="AE42" s="1"/>
    </row>
    <row r="43" spans="1:31" ht="13" x14ac:dyDescent="0.25">
      <c r="A43" s="1"/>
      <c r="B43" s="170" t="s">
        <v>141</v>
      </c>
      <c r="C43" s="159"/>
      <c r="D43" s="159"/>
      <c r="E43" s="159"/>
      <c r="F43" s="159"/>
      <c r="G43" s="159"/>
      <c r="H43" s="159"/>
      <c r="I43" s="159"/>
      <c r="J43" s="159"/>
      <c r="K43" s="159"/>
      <c r="L43" s="159"/>
      <c r="M43" s="159"/>
      <c r="N43" s="159"/>
      <c r="O43" s="159"/>
      <c r="P43" s="159"/>
      <c r="Q43" s="151"/>
      <c r="R43" s="1"/>
      <c r="S43" s="1"/>
      <c r="T43" s="1"/>
      <c r="U43" s="1"/>
      <c r="V43" s="1"/>
      <c r="W43" s="1"/>
      <c r="X43" s="1"/>
      <c r="Y43" s="1"/>
      <c r="Z43" s="1"/>
      <c r="AA43" s="1"/>
      <c r="AB43" s="1"/>
      <c r="AC43" s="1"/>
      <c r="AD43" s="1"/>
      <c r="AE43" s="1"/>
    </row>
    <row r="44" spans="1:31" x14ac:dyDescent="0.25">
      <c r="A44" s="1"/>
      <c r="B44" s="1"/>
      <c r="C44" s="5"/>
      <c r="D44" s="5"/>
      <c r="E44" s="1"/>
      <c r="F44" s="1"/>
      <c r="G44" s="1"/>
      <c r="H44" s="1"/>
      <c r="I44" s="1"/>
      <c r="J44" s="1"/>
      <c r="K44" s="1"/>
      <c r="L44" s="1"/>
      <c r="M44" s="1"/>
      <c r="N44" s="1"/>
      <c r="O44" s="5"/>
      <c r="P44" s="5"/>
      <c r="Q44" s="5"/>
      <c r="R44" s="1"/>
      <c r="S44" s="1"/>
      <c r="T44" s="1"/>
      <c r="U44" s="1"/>
      <c r="V44" s="1"/>
      <c r="W44" s="1"/>
      <c r="X44" s="1"/>
      <c r="Y44" s="1"/>
      <c r="Z44" s="1"/>
      <c r="AA44" s="1"/>
      <c r="AB44" s="1"/>
      <c r="AC44" s="1"/>
      <c r="AD44" s="1"/>
      <c r="AE44" s="1"/>
    </row>
    <row r="45" spans="1:31" x14ac:dyDescent="0.25">
      <c r="A45" s="1"/>
      <c r="B45" s="1"/>
      <c r="C45" s="5"/>
      <c r="D45" s="5"/>
      <c r="E45" s="1"/>
      <c r="F45" s="1"/>
      <c r="G45" s="1"/>
      <c r="H45" s="1"/>
      <c r="I45" s="1"/>
      <c r="J45" s="1"/>
      <c r="K45" s="1"/>
      <c r="L45" s="171"/>
      <c r="M45" s="148"/>
      <c r="N45" s="1"/>
      <c r="O45" s="5"/>
      <c r="P45" s="5"/>
      <c r="Q45" s="5"/>
      <c r="R45" s="1"/>
      <c r="S45" s="1"/>
      <c r="T45" s="1"/>
      <c r="U45" s="1"/>
      <c r="V45" s="1"/>
      <c r="W45" s="1"/>
      <c r="X45" s="1"/>
      <c r="Y45" s="1"/>
      <c r="Z45" s="1"/>
      <c r="AA45" s="1"/>
      <c r="AB45" s="1"/>
      <c r="AC45" s="1"/>
      <c r="AD45" s="1"/>
      <c r="AE45" s="1"/>
    </row>
    <row r="46" spans="1:31" x14ac:dyDescent="0.25">
      <c r="A46" s="1"/>
      <c r="B46" s="132" t="s">
        <v>123</v>
      </c>
      <c r="C46" s="135" t="s">
        <v>7</v>
      </c>
      <c r="D46" s="135" t="s">
        <v>8</v>
      </c>
      <c r="E46" s="135" t="s">
        <v>9</v>
      </c>
      <c r="F46" s="139" t="s">
        <v>10</v>
      </c>
      <c r="G46" s="142" t="s">
        <v>11</v>
      </c>
      <c r="H46" s="143" t="s">
        <v>12</v>
      </c>
      <c r="I46" s="144"/>
      <c r="J46" s="144"/>
      <c r="K46" s="145"/>
      <c r="L46" s="146" t="s">
        <v>13</v>
      </c>
      <c r="M46" s="147"/>
      <c r="N46" s="150" t="s">
        <v>14</v>
      </c>
      <c r="O46" s="138" t="s">
        <v>15</v>
      </c>
      <c r="P46" s="138" t="s">
        <v>16</v>
      </c>
      <c r="Q46" s="135" t="s">
        <v>17</v>
      </c>
      <c r="R46" s="1"/>
      <c r="S46" s="1"/>
      <c r="T46" s="1"/>
      <c r="U46" s="1"/>
      <c r="V46" s="1"/>
      <c r="W46" s="1"/>
      <c r="X46" s="1"/>
      <c r="Y46" s="1"/>
      <c r="Z46" s="1"/>
      <c r="AA46" s="1"/>
      <c r="AB46" s="1"/>
      <c r="AC46" s="1"/>
      <c r="AD46" s="1"/>
      <c r="AE46" s="1"/>
    </row>
    <row r="47" spans="1:31" x14ac:dyDescent="0.25">
      <c r="A47" s="1"/>
      <c r="B47" s="133"/>
      <c r="C47" s="136"/>
      <c r="D47" s="136"/>
      <c r="E47" s="136"/>
      <c r="F47" s="140"/>
      <c r="G47" s="128"/>
      <c r="H47" s="152" t="s">
        <v>18</v>
      </c>
      <c r="I47" s="153"/>
      <c r="J47" s="154" t="s">
        <v>19</v>
      </c>
      <c r="K47" s="153"/>
      <c r="L47" s="148"/>
      <c r="M47" s="149"/>
      <c r="N47" s="149"/>
      <c r="O47" s="136"/>
      <c r="P47" s="136"/>
      <c r="Q47" s="136"/>
      <c r="R47" s="1"/>
      <c r="S47" s="1"/>
      <c r="T47" s="1"/>
      <c r="U47" s="1"/>
      <c r="V47" s="1"/>
      <c r="W47" s="1"/>
      <c r="X47" s="1"/>
      <c r="Y47" s="1"/>
      <c r="Z47" s="1"/>
      <c r="AA47" s="1"/>
      <c r="AB47" s="1"/>
      <c r="AC47" s="1"/>
      <c r="AD47" s="1"/>
      <c r="AE47" s="1"/>
    </row>
    <row r="48" spans="1:31" ht="13" x14ac:dyDescent="0.25">
      <c r="A48" s="1"/>
      <c r="B48" s="134"/>
      <c r="C48" s="137"/>
      <c r="D48" s="137"/>
      <c r="E48" s="137"/>
      <c r="F48" s="141"/>
      <c r="G48" s="128"/>
      <c r="H48" s="9" t="s">
        <v>20</v>
      </c>
      <c r="I48" s="10" t="s">
        <v>21</v>
      </c>
      <c r="J48" s="11" t="s">
        <v>20</v>
      </c>
      <c r="K48" s="10" t="s">
        <v>21</v>
      </c>
      <c r="L48" s="12" t="s">
        <v>22</v>
      </c>
      <c r="M48" s="12" t="s">
        <v>23</v>
      </c>
      <c r="N48" s="151"/>
      <c r="O48" s="137"/>
      <c r="P48" s="137"/>
      <c r="Q48" s="137"/>
      <c r="R48" s="1"/>
      <c r="S48" s="1"/>
      <c r="T48" s="1"/>
      <c r="U48" s="1"/>
      <c r="V48" s="1"/>
      <c r="W48" s="1"/>
      <c r="X48" s="1"/>
      <c r="Y48" s="1"/>
      <c r="Z48" s="1"/>
      <c r="AA48" s="1"/>
      <c r="AB48" s="1"/>
      <c r="AC48" s="1"/>
      <c r="AD48" s="1"/>
      <c r="AE48" s="1"/>
    </row>
    <row r="49" spans="1:31" ht="25" x14ac:dyDescent="0.25">
      <c r="A49" s="1"/>
      <c r="B49" s="127" t="s">
        <v>140</v>
      </c>
      <c r="C49" s="13" t="s">
        <v>41</v>
      </c>
      <c r="D49" s="14" t="s">
        <v>25</v>
      </c>
      <c r="E49" s="15">
        <v>45659</v>
      </c>
      <c r="F49" s="14">
        <v>2</v>
      </c>
      <c r="G49" s="15">
        <v>45816</v>
      </c>
      <c r="H49" s="16"/>
      <c r="I49" s="17"/>
      <c r="J49" s="18"/>
      <c r="K49" s="17"/>
      <c r="L49" s="14">
        <v>0</v>
      </c>
      <c r="M49" s="14">
        <v>0</v>
      </c>
      <c r="N49" s="14" t="s">
        <v>30</v>
      </c>
      <c r="O49" s="13" t="s">
        <v>42</v>
      </c>
      <c r="P49" s="13" t="s">
        <v>43</v>
      </c>
      <c r="Q49" s="19" t="s">
        <v>44</v>
      </c>
      <c r="R49" s="1"/>
      <c r="S49" s="1"/>
      <c r="T49" s="1"/>
      <c r="U49" s="1"/>
      <c r="V49" s="1"/>
      <c r="W49" s="1"/>
      <c r="X49" s="1"/>
      <c r="Y49" s="1"/>
      <c r="Z49" s="1"/>
      <c r="AA49" s="1"/>
      <c r="AB49" s="1"/>
      <c r="AC49" s="1"/>
      <c r="AD49" s="1"/>
      <c r="AE49" s="1"/>
    </row>
    <row r="50" spans="1:31" ht="25" x14ac:dyDescent="0.25">
      <c r="A50" s="1"/>
      <c r="B50" s="128"/>
      <c r="C50" s="90" t="s">
        <v>45</v>
      </c>
      <c r="D50" s="21" t="s">
        <v>25</v>
      </c>
      <c r="E50" s="22">
        <v>45692</v>
      </c>
      <c r="F50" s="21">
        <v>2</v>
      </c>
      <c r="G50" s="22">
        <v>45816</v>
      </c>
      <c r="H50" s="23"/>
      <c r="I50" s="24"/>
      <c r="J50" s="25"/>
      <c r="K50" s="24"/>
      <c r="L50" s="21">
        <v>1</v>
      </c>
      <c r="M50" s="21">
        <v>0</v>
      </c>
      <c r="N50" s="21" t="s">
        <v>26</v>
      </c>
      <c r="O50" s="21" t="s">
        <v>46</v>
      </c>
      <c r="P50" s="21" t="s">
        <v>46</v>
      </c>
      <c r="Q50" s="26" t="s">
        <v>47</v>
      </c>
      <c r="R50" s="1"/>
      <c r="S50" s="1"/>
      <c r="T50" s="1"/>
      <c r="U50" s="1"/>
      <c r="V50" s="1"/>
      <c r="W50" s="1"/>
      <c r="X50" s="1"/>
      <c r="Y50" s="1"/>
      <c r="Z50" s="1"/>
      <c r="AA50" s="1"/>
      <c r="AB50" s="1"/>
      <c r="AC50" s="1"/>
      <c r="AD50" s="1"/>
      <c r="AE50" s="1"/>
    </row>
    <row r="51" spans="1:31" ht="25" x14ac:dyDescent="0.25">
      <c r="A51" s="1"/>
      <c r="B51" s="128"/>
      <c r="C51" s="20" t="s">
        <v>24</v>
      </c>
      <c r="D51" s="21" t="s">
        <v>25</v>
      </c>
      <c r="E51" s="22">
        <v>45692</v>
      </c>
      <c r="F51" s="21">
        <v>2</v>
      </c>
      <c r="G51" s="22">
        <v>45816</v>
      </c>
      <c r="H51" s="23"/>
      <c r="I51" s="24"/>
      <c r="J51" s="25"/>
      <c r="K51" s="24"/>
      <c r="L51" s="21">
        <v>1</v>
      </c>
      <c r="M51" s="21">
        <v>0</v>
      </c>
      <c r="N51" s="21" t="s">
        <v>26</v>
      </c>
      <c r="O51" s="20" t="s">
        <v>27</v>
      </c>
      <c r="P51" s="20" t="s">
        <v>28</v>
      </c>
      <c r="Q51" s="26" t="s">
        <v>29</v>
      </c>
      <c r="R51" s="1"/>
      <c r="S51" s="1"/>
      <c r="T51" s="1"/>
      <c r="U51" s="1"/>
      <c r="V51" s="1"/>
      <c r="W51" s="1"/>
      <c r="X51" s="1"/>
      <c r="Y51" s="1"/>
      <c r="Z51" s="1"/>
      <c r="AA51" s="1"/>
      <c r="AB51" s="1"/>
      <c r="AC51" s="1"/>
      <c r="AD51" s="1"/>
      <c r="AE51" s="1"/>
    </row>
    <row r="52" spans="1:31" ht="25" x14ac:dyDescent="0.25">
      <c r="A52" s="1"/>
      <c r="B52" s="128"/>
      <c r="C52" s="20" t="s">
        <v>31</v>
      </c>
      <c r="D52" s="21" t="s">
        <v>25</v>
      </c>
      <c r="E52" s="21" t="s">
        <v>32</v>
      </c>
      <c r="F52" s="21">
        <v>1</v>
      </c>
      <c r="G52" s="22">
        <v>45879</v>
      </c>
      <c r="H52" s="23"/>
      <c r="I52" s="24"/>
      <c r="J52" s="25"/>
      <c r="K52" s="24"/>
      <c r="L52" s="21">
        <v>0</v>
      </c>
      <c r="M52" s="21" t="s">
        <v>25</v>
      </c>
      <c r="N52" s="21" t="s">
        <v>30</v>
      </c>
      <c r="O52" s="20" t="s">
        <v>33</v>
      </c>
      <c r="P52" s="20" t="s">
        <v>34</v>
      </c>
      <c r="Q52" s="26" t="s">
        <v>35</v>
      </c>
      <c r="R52" s="1"/>
      <c r="S52" s="1"/>
      <c r="T52" s="1"/>
      <c r="U52" s="1"/>
      <c r="V52" s="1"/>
      <c r="W52" s="1"/>
      <c r="X52" s="1"/>
      <c r="Y52" s="1"/>
      <c r="Z52" s="1"/>
      <c r="AA52" s="1"/>
      <c r="AB52" s="1"/>
      <c r="AC52" s="1"/>
      <c r="AD52" s="1"/>
      <c r="AE52" s="1"/>
    </row>
    <row r="53" spans="1:31" ht="25" x14ac:dyDescent="0.25">
      <c r="A53" s="1"/>
      <c r="B53" s="128"/>
      <c r="C53" s="20" t="s">
        <v>36</v>
      </c>
      <c r="D53" s="21" t="s">
        <v>25</v>
      </c>
      <c r="E53" s="22">
        <v>45659</v>
      </c>
      <c r="F53" s="21">
        <v>2</v>
      </c>
      <c r="G53" s="22">
        <v>45816</v>
      </c>
      <c r="H53" s="23"/>
      <c r="I53" s="24"/>
      <c r="J53" s="25"/>
      <c r="K53" s="24"/>
      <c r="L53" s="21">
        <v>1</v>
      </c>
      <c r="M53" s="21">
        <v>0</v>
      </c>
      <c r="N53" s="21" t="s">
        <v>37</v>
      </c>
      <c r="O53" s="20" t="s">
        <v>38</v>
      </c>
      <c r="P53" s="20" t="s">
        <v>39</v>
      </c>
      <c r="Q53" s="26" t="s">
        <v>40</v>
      </c>
      <c r="R53" s="1"/>
      <c r="S53" s="1"/>
      <c r="T53" s="1"/>
      <c r="U53" s="1"/>
      <c r="V53" s="1"/>
      <c r="W53" s="1"/>
      <c r="X53" s="1"/>
      <c r="Y53" s="1"/>
      <c r="Z53" s="1"/>
      <c r="AA53" s="1"/>
      <c r="AB53" s="1"/>
      <c r="AC53" s="1"/>
      <c r="AD53" s="1"/>
      <c r="AE53" s="1"/>
    </row>
    <row r="54" spans="1:31" ht="37.5" x14ac:dyDescent="0.25">
      <c r="A54" s="1"/>
      <c r="B54" s="129"/>
      <c r="C54" s="20" t="s">
        <v>52</v>
      </c>
      <c r="D54" s="21" t="s">
        <v>25</v>
      </c>
      <c r="E54" s="21" t="s">
        <v>32</v>
      </c>
      <c r="F54" s="21">
        <v>1</v>
      </c>
      <c r="G54" s="22">
        <v>45816</v>
      </c>
      <c r="H54" s="23"/>
      <c r="I54" s="24"/>
      <c r="J54" s="25"/>
      <c r="K54" s="24"/>
      <c r="L54" s="21">
        <v>0</v>
      </c>
      <c r="M54" s="21" t="s">
        <v>25</v>
      </c>
      <c r="N54" s="21" t="s">
        <v>30</v>
      </c>
      <c r="O54" s="20" t="s">
        <v>53</v>
      </c>
      <c r="P54" s="20" t="s">
        <v>54</v>
      </c>
      <c r="Q54" s="26" t="s">
        <v>55</v>
      </c>
      <c r="R54" s="1"/>
      <c r="S54" s="1"/>
      <c r="T54" s="1"/>
      <c r="U54" s="1"/>
      <c r="V54" s="1"/>
      <c r="W54" s="1"/>
      <c r="X54" s="1"/>
      <c r="Y54" s="1"/>
      <c r="Z54" s="1"/>
      <c r="AA54" s="1"/>
      <c r="AB54" s="1"/>
      <c r="AC54" s="1"/>
      <c r="AD54" s="1"/>
      <c r="AE54" s="1"/>
    </row>
    <row r="55" spans="1:31" ht="13" x14ac:dyDescent="0.25">
      <c r="A55" s="1"/>
      <c r="B55" s="155" t="s">
        <v>141</v>
      </c>
      <c r="C55" s="156"/>
      <c r="D55" s="156"/>
      <c r="E55" s="156"/>
      <c r="F55" s="156"/>
      <c r="G55" s="156"/>
      <c r="H55" s="156"/>
      <c r="I55" s="156"/>
      <c r="J55" s="156"/>
      <c r="K55" s="156"/>
      <c r="L55" s="156"/>
      <c r="M55" s="156"/>
      <c r="N55" s="156"/>
      <c r="O55" s="156"/>
      <c r="P55" s="156"/>
      <c r="Q55" s="157"/>
      <c r="R55" s="1"/>
      <c r="S55" s="1"/>
      <c r="T55" s="1"/>
      <c r="U55" s="1"/>
      <c r="V55" s="1"/>
      <c r="W55" s="1"/>
      <c r="X55" s="1"/>
      <c r="Y55" s="1"/>
      <c r="Z55" s="1"/>
      <c r="AA55" s="1"/>
      <c r="AB55" s="1"/>
      <c r="AC55" s="1"/>
      <c r="AD55" s="1"/>
      <c r="AE55" s="1"/>
    </row>
    <row r="56" spans="1:31" ht="25" x14ac:dyDescent="0.25">
      <c r="A56" s="1"/>
      <c r="B56" s="130" t="s">
        <v>142</v>
      </c>
      <c r="C56" s="52" t="s">
        <v>56</v>
      </c>
      <c r="D56" s="53" t="s">
        <v>25</v>
      </c>
      <c r="E56" s="54">
        <v>45691</v>
      </c>
      <c r="F56" s="55">
        <v>2</v>
      </c>
      <c r="G56" s="54">
        <v>45879</v>
      </c>
      <c r="H56" s="56"/>
      <c r="I56" s="57"/>
      <c r="J56" s="56"/>
      <c r="K56" s="57"/>
      <c r="L56" s="55">
        <v>1</v>
      </c>
      <c r="M56" s="55">
        <v>0</v>
      </c>
      <c r="N56" s="55" t="s">
        <v>37</v>
      </c>
      <c r="O56" s="52" t="s">
        <v>57</v>
      </c>
      <c r="P56" s="52" t="s">
        <v>39</v>
      </c>
      <c r="Q56" s="58" t="s">
        <v>58</v>
      </c>
      <c r="R56" s="1"/>
      <c r="S56" s="1"/>
      <c r="T56" s="1"/>
      <c r="U56" s="1"/>
      <c r="V56" s="1"/>
      <c r="W56" s="1"/>
      <c r="X56" s="1"/>
      <c r="Y56" s="1"/>
      <c r="Z56" s="1"/>
      <c r="AA56" s="1"/>
      <c r="AB56" s="1"/>
      <c r="AC56" s="1"/>
      <c r="AD56" s="1"/>
      <c r="AE56" s="1"/>
    </row>
    <row r="57" spans="1:31" ht="25" x14ac:dyDescent="0.25">
      <c r="A57" s="1"/>
      <c r="B57" s="128"/>
      <c r="C57" s="43" t="s">
        <v>59</v>
      </c>
      <c r="D57" s="44" t="s">
        <v>25</v>
      </c>
      <c r="E57" s="45">
        <v>45691</v>
      </c>
      <c r="F57" s="46">
        <v>2</v>
      </c>
      <c r="G57" s="45">
        <v>45879</v>
      </c>
      <c r="H57" s="47"/>
      <c r="I57" s="48"/>
      <c r="J57" s="47"/>
      <c r="K57" s="48"/>
      <c r="L57" s="46">
        <v>1</v>
      </c>
      <c r="M57" s="46">
        <v>0</v>
      </c>
      <c r="N57" s="46" t="s">
        <v>37</v>
      </c>
      <c r="O57" s="43" t="s">
        <v>60</v>
      </c>
      <c r="P57" s="43" t="s">
        <v>61</v>
      </c>
      <c r="Q57" s="49" t="s">
        <v>62</v>
      </c>
      <c r="R57" s="1"/>
      <c r="S57" s="1"/>
      <c r="T57" s="1"/>
      <c r="U57" s="1"/>
      <c r="V57" s="1"/>
      <c r="W57" s="1"/>
      <c r="X57" s="1"/>
      <c r="Y57" s="1"/>
      <c r="Z57" s="1"/>
      <c r="AA57" s="1"/>
      <c r="AB57" s="1"/>
      <c r="AC57" s="1"/>
      <c r="AD57" s="1"/>
      <c r="AE57" s="1"/>
    </row>
    <row r="58" spans="1:31" x14ac:dyDescent="0.25">
      <c r="A58" s="1"/>
      <c r="B58" s="128"/>
      <c r="C58" s="36" t="s">
        <v>63</v>
      </c>
      <c r="D58" s="37" t="s">
        <v>25</v>
      </c>
      <c r="E58" s="38">
        <v>45659</v>
      </c>
      <c r="F58" s="39">
        <v>1</v>
      </c>
      <c r="G58" s="38">
        <v>45816</v>
      </c>
      <c r="H58" s="40"/>
      <c r="I58" s="41"/>
      <c r="J58" s="40"/>
      <c r="K58" s="41"/>
      <c r="L58" s="39">
        <v>0</v>
      </c>
      <c r="M58" s="39" t="s">
        <v>25</v>
      </c>
      <c r="N58" s="39" t="s">
        <v>30</v>
      </c>
      <c r="O58" s="36" t="s">
        <v>64</v>
      </c>
      <c r="P58" s="36" t="s">
        <v>65</v>
      </c>
      <c r="Q58" s="42" t="s">
        <v>66</v>
      </c>
      <c r="R58" s="1"/>
      <c r="S58" s="1"/>
      <c r="T58" s="1"/>
      <c r="U58" s="1"/>
      <c r="V58" s="1"/>
      <c r="W58" s="1"/>
      <c r="X58" s="1"/>
      <c r="Y58" s="1"/>
      <c r="Z58" s="1"/>
      <c r="AA58" s="1"/>
      <c r="AB58" s="1"/>
      <c r="AC58" s="1"/>
      <c r="AD58" s="1"/>
      <c r="AE58" s="1"/>
    </row>
    <row r="59" spans="1:31" ht="25" x14ac:dyDescent="0.25">
      <c r="A59" s="1"/>
      <c r="B59" s="128"/>
      <c r="C59" s="43" t="s">
        <v>67</v>
      </c>
      <c r="D59" s="44" t="s">
        <v>25</v>
      </c>
      <c r="E59" s="45">
        <v>45692</v>
      </c>
      <c r="F59" s="46">
        <v>2</v>
      </c>
      <c r="G59" s="45">
        <v>45879</v>
      </c>
      <c r="H59" s="47"/>
      <c r="I59" s="48"/>
      <c r="J59" s="47"/>
      <c r="K59" s="48"/>
      <c r="L59" s="46">
        <v>1</v>
      </c>
      <c r="M59" s="46">
        <v>0</v>
      </c>
      <c r="N59" s="46" t="s">
        <v>26</v>
      </c>
      <c r="O59" s="43" t="s">
        <v>68</v>
      </c>
      <c r="P59" s="43" t="s">
        <v>69</v>
      </c>
      <c r="Q59" s="49" t="s">
        <v>70</v>
      </c>
      <c r="R59" s="1"/>
      <c r="S59" s="1"/>
      <c r="T59" s="1"/>
      <c r="U59" s="1"/>
      <c r="V59" s="1"/>
      <c r="W59" s="1"/>
      <c r="X59" s="1"/>
      <c r="Y59" s="1"/>
      <c r="Z59" s="1"/>
      <c r="AA59" s="1"/>
      <c r="AB59" s="1"/>
      <c r="AC59" s="1"/>
      <c r="AD59" s="1"/>
      <c r="AE59" s="1"/>
    </row>
    <row r="60" spans="1:31" ht="25" x14ac:dyDescent="0.25">
      <c r="A60" s="1"/>
      <c r="B60" s="128"/>
      <c r="C60" s="36" t="s">
        <v>71</v>
      </c>
      <c r="D60" s="37" t="s">
        <v>25</v>
      </c>
      <c r="E60" s="39" t="s">
        <v>32</v>
      </c>
      <c r="F60" s="39">
        <v>2</v>
      </c>
      <c r="G60" s="38">
        <v>45879</v>
      </c>
      <c r="H60" s="40"/>
      <c r="I60" s="41"/>
      <c r="J60" s="40"/>
      <c r="K60" s="41"/>
      <c r="L60" s="39">
        <v>0</v>
      </c>
      <c r="M60" s="39">
        <v>0</v>
      </c>
      <c r="N60" s="39" t="s">
        <v>30</v>
      </c>
      <c r="O60" s="36" t="s">
        <v>72</v>
      </c>
      <c r="P60" s="36" t="s">
        <v>34</v>
      </c>
      <c r="Q60" s="42" t="s">
        <v>73</v>
      </c>
      <c r="R60" s="1"/>
      <c r="S60" s="1"/>
      <c r="T60" s="1"/>
      <c r="U60" s="1"/>
      <c r="V60" s="1"/>
      <c r="W60" s="1"/>
      <c r="X60" s="1"/>
      <c r="Y60" s="1"/>
      <c r="Z60" s="1"/>
      <c r="AA60" s="1"/>
      <c r="AB60" s="1"/>
      <c r="AC60" s="1"/>
      <c r="AD60" s="1"/>
      <c r="AE60" s="1"/>
    </row>
    <row r="61" spans="1:31" ht="25" x14ac:dyDescent="0.25">
      <c r="A61" s="1"/>
      <c r="B61" s="128"/>
      <c r="C61" s="43" t="s">
        <v>74</v>
      </c>
      <c r="D61" s="44" t="s">
        <v>25</v>
      </c>
      <c r="E61" s="46" t="s">
        <v>32</v>
      </c>
      <c r="F61" s="46">
        <v>1</v>
      </c>
      <c r="G61" s="45">
        <v>45879</v>
      </c>
      <c r="H61" s="47"/>
      <c r="I61" s="48"/>
      <c r="J61" s="47"/>
      <c r="K61" s="48"/>
      <c r="L61" s="46">
        <v>0</v>
      </c>
      <c r="M61" s="46" t="s">
        <v>25</v>
      </c>
      <c r="N61" s="46" t="s">
        <v>30</v>
      </c>
      <c r="O61" s="43" t="s">
        <v>75</v>
      </c>
      <c r="P61" s="51" t="s">
        <v>76</v>
      </c>
      <c r="Q61" s="49" t="s">
        <v>77</v>
      </c>
      <c r="R61" s="1"/>
      <c r="S61" s="1"/>
      <c r="T61" s="1"/>
      <c r="U61" s="1"/>
      <c r="V61" s="1"/>
      <c r="W61" s="1"/>
      <c r="X61" s="1"/>
      <c r="Y61" s="1"/>
      <c r="Z61" s="1"/>
      <c r="AA61" s="1"/>
      <c r="AB61" s="1"/>
      <c r="AC61" s="1"/>
      <c r="AD61" s="1"/>
      <c r="AE61" s="1"/>
    </row>
    <row r="62" spans="1:31" ht="25" x14ac:dyDescent="0.25">
      <c r="A62" s="1"/>
      <c r="B62" s="128"/>
      <c r="C62" s="36" t="s">
        <v>78</v>
      </c>
      <c r="D62" s="37" t="s">
        <v>25</v>
      </c>
      <c r="E62" s="39" t="s">
        <v>32</v>
      </c>
      <c r="F62" s="39">
        <v>2</v>
      </c>
      <c r="G62" s="38">
        <v>45816</v>
      </c>
      <c r="H62" s="40"/>
      <c r="I62" s="41"/>
      <c r="J62" s="40"/>
      <c r="K62" s="41"/>
      <c r="L62" s="39">
        <v>0</v>
      </c>
      <c r="M62" s="39">
        <v>0</v>
      </c>
      <c r="N62" s="39" t="s">
        <v>30</v>
      </c>
      <c r="O62" s="50" t="s">
        <v>79</v>
      </c>
      <c r="P62" s="50" t="s">
        <v>80</v>
      </c>
      <c r="Q62" s="42" t="s">
        <v>81</v>
      </c>
      <c r="R62" s="1"/>
      <c r="S62" s="1"/>
      <c r="T62" s="1"/>
      <c r="U62" s="1"/>
      <c r="V62" s="1"/>
      <c r="W62" s="1"/>
      <c r="X62" s="1"/>
      <c r="Y62" s="1"/>
      <c r="Z62" s="1"/>
      <c r="AA62" s="1"/>
      <c r="AB62" s="1"/>
      <c r="AC62" s="1"/>
      <c r="AD62" s="1"/>
      <c r="AE62" s="1"/>
    </row>
    <row r="63" spans="1:31" ht="37.5" x14ac:dyDescent="0.25">
      <c r="A63" s="1"/>
      <c r="B63" s="130" t="s">
        <v>143</v>
      </c>
      <c r="C63" s="29" t="s">
        <v>48</v>
      </c>
      <c r="D63" s="30" t="s">
        <v>25</v>
      </c>
      <c r="E63" s="31">
        <v>45659</v>
      </c>
      <c r="F63" s="32">
        <v>2</v>
      </c>
      <c r="G63" s="31">
        <v>45879</v>
      </c>
      <c r="H63" s="33"/>
      <c r="I63" s="34"/>
      <c r="J63" s="33"/>
      <c r="K63" s="34"/>
      <c r="L63" s="32">
        <v>0</v>
      </c>
      <c r="M63" s="32">
        <v>0</v>
      </c>
      <c r="N63" s="32" t="s">
        <v>30</v>
      </c>
      <c r="O63" s="29" t="s">
        <v>49</v>
      </c>
      <c r="P63" s="29" t="s">
        <v>50</v>
      </c>
      <c r="Q63" s="35" t="s">
        <v>51</v>
      </c>
      <c r="R63" s="1"/>
      <c r="S63" s="1"/>
      <c r="T63" s="1"/>
      <c r="U63" s="1"/>
      <c r="V63" s="1"/>
      <c r="W63" s="1"/>
      <c r="X63" s="1"/>
      <c r="Y63" s="1"/>
      <c r="Z63" s="1"/>
      <c r="AA63" s="1"/>
      <c r="AB63" s="1"/>
      <c r="AC63" s="1"/>
      <c r="AD63" s="1"/>
      <c r="AE63" s="1"/>
    </row>
    <row r="64" spans="1:31" ht="37.5" x14ac:dyDescent="0.25">
      <c r="A64" s="1"/>
      <c r="B64" s="128"/>
      <c r="C64" s="36" t="s">
        <v>82</v>
      </c>
      <c r="D64" s="37" t="s">
        <v>25</v>
      </c>
      <c r="E64" s="38">
        <v>45691</v>
      </c>
      <c r="F64" s="39">
        <v>2</v>
      </c>
      <c r="G64" s="38">
        <v>45816</v>
      </c>
      <c r="H64" s="40"/>
      <c r="I64" s="41"/>
      <c r="J64" s="40"/>
      <c r="K64" s="41"/>
      <c r="L64" s="39">
        <v>2</v>
      </c>
      <c r="M64" s="39">
        <v>1</v>
      </c>
      <c r="N64" s="39" t="s">
        <v>37</v>
      </c>
      <c r="O64" s="36" t="s">
        <v>83</v>
      </c>
      <c r="P64" s="36" t="s">
        <v>84</v>
      </c>
      <c r="Q64" s="42" t="s">
        <v>85</v>
      </c>
      <c r="R64" s="1"/>
      <c r="S64" s="1"/>
      <c r="T64" s="1"/>
      <c r="U64" s="1"/>
      <c r="V64" s="1"/>
      <c r="W64" s="1"/>
      <c r="X64" s="1"/>
      <c r="Y64" s="1"/>
      <c r="Z64" s="1"/>
      <c r="AA64" s="1"/>
      <c r="AB64" s="1"/>
      <c r="AC64" s="1"/>
      <c r="AD64" s="1"/>
      <c r="AE64" s="1"/>
    </row>
    <row r="65" spans="1:31" x14ac:dyDescent="0.25">
      <c r="A65" s="1"/>
      <c r="B65" s="128"/>
      <c r="C65" s="43" t="s">
        <v>86</v>
      </c>
      <c r="D65" s="44" t="s">
        <v>25</v>
      </c>
      <c r="E65" s="45">
        <v>45692</v>
      </c>
      <c r="F65" s="46">
        <v>2</v>
      </c>
      <c r="G65" s="45">
        <v>45816</v>
      </c>
      <c r="H65" s="47"/>
      <c r="I65" s="48"/>
      <c r="J65" s="47"/>
      <c r="K65" s="48"/>
      <c r="L65" s="46">
        <v>1</v>
      </c>
      <c r="M65" s="46">
        <v>0</v>
      </c>
      <c r="N65" s="46" t="s">
        <v>37</v>
      </c>
      <c r="O65" s="43" t="s">
        <v>87</v>
      </c>
      <c r="P65" s="43" t="s">
        <v>88</v>
      </c>
      <c r="Q65" s="49" t="s">
        <v>89</v>
      </c>
      <c r="R65" s="1"/>
      <c r="S65" s="1"/>
      <c r="T65" s="1"/>
      <c r="U65" s="1"/>
      <c r="V65" s="1"/>
      <c r="W65" s="1"/>
      <c r="X65" s="1"/>
      <c r="Y65" s="1"/>
      <c r="Z65" s="1"/>
      <c r="AA65" s="1"/>
      <c r="AB65" s="1"/>
      <c r="AC65" s="1"/>
      <c r="AD65" s="1"/>
      <c r="AE65" s="1"/>
    </row>
    <row r="66" spans="1:31" ht="25" x14ac:dyDescent="0.25">
      <c r="A66" s="1"/>
      <c r="B66" s="128"/>
      <c r="C66" s="36" t="s">
        <v>90</v>
      </c>
      <c r="D66" s="37" t="s">
        <v>25</v>
      </c>
      <c r="E66" s="38">
        <v>45692</v>
      </c>
      <c r="F66" s="39">
        <v>1</v>
      </c>
      <c r="G66" s="38">
        <v>45816</v>
      </c>
      <c r="H66" s="40"/>
      <c r="I66" s="41"/>
      <c r="J66" s="40"/>
      <c r="K66" s="41"/>
      <c r="L66" s="39">
        <v>0</v>
      </c>
      <c r="M66" s="39" t="s">
        <v>25</v>
      </c>
      <c r="N66" s="39" t="s">
        <v>37</v>
      </c>
      <c r="O66" s="36" t="s">
        <v>91</v>
      </c>
      <c r="P66" s="36" t="s">
        <v>92</v>
      </c>
      <c r="Q66" s="42" t="s">
        <v>93</v>
      </c>
      <c r="R66" s="1"/>
      <c r="S66" s="1"/>
      <c r="T66" s="1"/>
      <c r="U66" s="1"/>
      <c r="V66" s="1"/>
      <c r="W66" s="1"/>
      <c r="X66" s="1"/>
      <c r="Y66" s="1"/>
      <c r="Z66" s="1"/>
      <c r="AA66" s="1"/>
      <c r="AB66" s="1"/>
      <c r="AC66" s="1"/>
      <c r="AD66" s="1"/>
      <c r="AE66" s="1"/>
    </row>
    <row r="67" spans="1:31" ht="37.5" x14ac:dyDescent="0.25">
      <c r="A67" s="1"/>
      <c r="B67" s="131"/>
      <c r="C67" s="64" t="s">
        <v>52</v>
      </c>
      <c r="D67" s="65" t="s">
        <v>25</v>
      </c>
      <c r="E67" s="66" t="s">
        <v>32</v>
      </c>
      <c r="F67" s="66">
        <v>2</v>
      </c>
      <c r="G67" s="69">
        <v>45879</v>
      </c>
      <c r="H67" s="67"/>
      <c r="I67" s="68"/>
      <c r="J67" s="67"/>
      <c r="K67" s="68"/>
      <c r="L67" s="66">
        <v>0</v>
      </c>
      <c r="M67" s="66">
        <v>0</v>
      </c>
      <c r="N67" s="66" t="s">
        <v>30</v>
      </c>
      <c r="O67" s="64" t="s">
        <v>53</v>
      </c>
      <c r="P67" s="64" t="s">
        <v>54</v>
      </c>
      <c r="Q67" s="70" t="s">
        <v>55</v>
      </c>
      <c r="R67" s="1"/>
      <c r="S67" s="1"/>
      <c r="T67" s="1"/>
      <c r="U67" s="1"/>
      <c r="V67" s="1"/>
      <c r="W67" s="1"/>
      <c r="X67" s="1"/>
      <c r="Y67" s="1"/>
      <c r="Z67" s="1"/>
      <c r="AA67" s="1"/>
      <c r="AB67" s="1"/>
      <c r="AC67" s="1"/>
      <c r="AD67" s="1"/>
      <c r="AE67" s="1"/>
    </row>
    <row r="68" spans="1:31" ht="37.5" x14ac:dyDescent="0.25">
      <c r="A68" s="1"/>
      <c r="B68" s="130" t="s">
        <v>94</v>
      </c>
      <c r="C68" s="36" t="s">
        <v>95</v>
      </c>
      <c r="D68" s="37" t="s">
        <v>25</v>
      </c>
      <c r="E68" s="39" t="s">
        <v>32</v>
      </c>
      <c r="F68" s="39">
        <v>2</v>
      </c>
      <c r="G68" s="38">
        <v>45816</v>
      </c>
      <c r="H68" s="40"/>
      <c r="I68" s="41"/>
      <c r="J68" s="40"/>
      <c r="K68" s="41"/>
      <c r="L68" s="39">
        <v>0</v>
      </c>
      <c r="M68" s="39">
        <v>0</v>
      </c>
      <c r="N68" s="39" t="s">
        <v>30</v>
      </c>
      <c r="O68" s="36" t="s">
        <v>96</v>
      </c>
      <c r="P68" s="36" t="s">
        <v>97</v>
      </c>
      <c r="Q68" s="42" t="s">
        <v>98</v>
      </c>
      <c r="R68" s="1"/>
      <c r="S68" s="1"/>
      <c r="T68" s="1"/>
      <c r="U68" s="1"/>
      <c r="V68" s="1"/>
      <c r="W68" s="1"/>
      <c r="X68" s="1"/>
      <c r="Y68" s="1"/>
      <c r="Z68" s="1"/>
      <c r="AA68" s="1"/>
      <c r="AB68" s="1"/>
      <c r="AC68" s="1"/>
      <c r="AD68" s="1"/>
      <c r="AE68" s="1"/>
    </row>
    <row r="69" spans="1:31" ht="25" x14ac:dyDescent="0.25">
      <c r="A69" s="1"/>
      <c r="B69" s="128"/>
      <c r="C69" s="43" t="s">
        <v>99</v>
      </c>
      <c r="D69" s="44" t="s">
        <v>25</v>
      </c>
      <c r="E69" s="46" t="s">
        <v>32</v>
      </c>
      <c r="F69" s="46">
        <v>2</v>
      </c>
      <c r="G69" s="45">
        <v>45879</v>
      </c>
      <c r="H69" s="47"/>
      <c r="I69" s="48"/>
      <c r="J69" s="47"/>
      <c r="K69" s="48"/>
      <c r="L69" s="46">
        <v>0</v>
      </c>
      <c r="M69" s="46">
        <v>0</v>
      </c>
      <c r="N69" s="46" t="s">
        <v>30</v>
      </c>
      <c r="O69" s="43" t="s">
        <v>100</v>
      </c>
      <c r="P69" s="43" t="s">
        <v>101</v>
      </c>
      <c r="Q69" s="49" t="s">
        <v>102</v>
      </c>
      <c r="R69" s="1"/>
      <c r="S69" s="1"/>
      <c r="T69" s="1"/>
      <c r="U69" s="1"/>
      <c r="V69" s="1"/>
      <c r="W69" s="1"/>
      <c r="X69" s="1"/>
      <c r="Y69" s="1"/>
      <c r="Z69" s="1"/>
      <c r="AA69" s="1"/>
      <c r="AB69" s="1"/>
      <c r="AC69" s="1"/>
      <c r="AD69" s="1"/>
      <c r="AE69" s="1"/>
    </row>
    <row r="70" spans="1:31" ht="25" x14ac:dyDescent="0.25">
      <c r="A70" s="1"/>
      <c r="B70" s="128"/>
      <c r="C70" s="36" t="s">
        <v>103</v>
      </c>
      <c r="D70" s="37" t="s">
        <v>25</v>
      </c>
      <c r="E70" s="39" t="s">
        <v>32</v>
      </c>
      <c r="F70" s="39">
        <v>1</v>
      </c>
      <c r="G70" s="38">
        <v>45879</v>
      </c>
      <c r="H70" s="40"/>
      <c r="I70" s="41"/>
      <c r="J70" s="40"/>
      <c r="K70" s="41"/>
      <c r="L70" s="39">
        <v>0</v>
      </c>
      <c r="M70" s="39" t="s">
        <v>25</v>
      </c>
      <c r="N70" s="39" t="s">
        <v>30</v>
      </c>
      <c r="O70" s="36" t="s">
        <v>104</v>
      </c>
      <c r="P70" s="36" t="s">
        <v>105</v>
      </c>
      <c r="Q70" s="42" t="s">
        <v>106</v>
      </c>
      <c r="R70" s="1"/>
      <c r="S70" s="1"/>
      <c r="T70" s="1"/>
      <c r="U70" s="1"/>
      <c r="V70" s="1"/>
      <c r="W70" s="1"/>
      <c r="X70" s="1"/>
      <c r="Y70" s="1"/>
      <c r="Z70" s="1"/>
      <c r="AA70" s="1"/>
      <c r="AB70" s="1"/>
      <c r="AC70" s="1"/>
      <c r="AD70" s="1"/>
      <c r="AE70" s="1"/>
    </row>
    <row r="71" spans="1:31" x14ac:dyDescent="0.25">
      <c r="A71" s="1"/>
      <c r="B71" s="128"/>
      <c r="C71" s="43" t="s">
        <v>107</v>
      </c>
      <c r="D71" s="44" t="s">
        <v>25</v>
      </c>
      <c r="E71" s="46" t="s">
        <v>32</v>
      </c>
      <c r="F71" s="46">
        <v>2</v>
      </c>
      <c r="G71" s="45">
        <v>45879</v>
      </c>
      <c r="H71" s="47"/>
      <c r="I71" s="48"/>
      <c r="J71" s="47"/>
      <c r="K71" s="48"/>
      <c r="L71" s="46">
        <v>0</v>
      </c>
      <c r="M71" s="46">
        <v>0</v>
      </c>
      <c r="N71" s="46" t="s">
        <v>30</v>
      </c>
      <c r="O71" s="43" t="s">
        <v>108</v>
      </c>
      <c r="P71" s="43" t="s">
        <v>109</v>
      </c>
      <c r="Q71" s="49" t="s">
        <v>110</v>
      </c>
      <c r="R71" s="1"/>
      <c r="S71" s="1"/>
      <c r="T71" s="1"/>
      <c r="U71" s="1"/>
      <c r="V71" s="1"/>
      <c r="W71" s="1"/>
      <c r="X71" s="1"/>
      <c r="Y71" s="1"/>
      <c r="Z71" s="1"/>
      <c r="AA71" s="1"/>
      <c r="AB71" s="1"/>
      <c r="AC71" s="1"/>
      <c r="AD71" s="1"/>
      <c r="AE71" s="1"/>
    </row>
    <row r="72" spans="1:31" x14ac:dyDescent="0.25">
      <c r="A72" s="1"/>
      <c r="B72" s="128"/>
      <c r="C72" s="36" t="s">
        <v>111</v>
      </c>
      <c r="D72" s="37" t="s">
        <v>25</v>
      </c>
      <c r="E72" s="39" t="s">
        <v>32</v>
      </c>
      <c r="F72" s="39">
        <v>2</v>
      </c>
      <c r="G72" s="38">
        <v>45879</v>
      </c>
      <c r="H72" s="40"/>
      <c r="I72" s="41"/>
      <c r="J72" s="40"/>
      <c r="K72" s="41"/>
      <c r="L72" s="39">
        <v>0</v>
      </c>
      <c r="M72" s="39">
        <v>0</v>
      </c>
      <c r="N72" s="39" t="s">
        <v>30</v>
      </c>
      <c r="O72" s="36" t="s">
        <v>112</v>
      </c>
      <c r="P72" s="37" t="s">
        <v>25</v>
      </c>
      <c r="Q72" s="42" t="s">
        <v>113</v>
      </c>
      <c r="R72" s="1"/>
      <c r="S72" s="1"/>
      <c r="T72" s="1"/>
      <c r="U72" s="1"/>
      <c r="V72" s="1"/>
      <c r="W72" s="1"/>
      <c r="X72" s="1"/>
      <c r="Y72" s="1"/>
      <c r="Z72" s="1"/>
      <c r="AA72" s="1"/>
      <c r="AB72" s="1"/>
      <c r="AC72" s="1"/>
      <c r="AD72" s="1"/>
      <c r="AE72" s="1"/>
    </row>
    <row r="73" spans="1:31" x14ac:dyDescent="0.25">
      <c r="A73" s="1"/>
      <c r="B73" s="128"/>
      <c r="C73" s="43" t="s">
        <v>114</v>
      </c>
      <c r="D73" s="44" t="s">
        <v>25</v>
      </c>
      <c r="E73" s="46" t="s">
        <v>32</v>
      </c>
      <c r="F73" s="46">
        <v>2</v>
      </c>
      <c r="G73" s="45">
        <v>45879</v>
      </c>
      <c r="H73" s="47"/>
      <c r="I73" s="48"/>
      <c r="J73" s="47"/>
      <c r="K73" s="48"/>
      <c r="L73" s="46">
        <v>0</v>
      </c>
      <c r="M73" s="46">
        <v>0</v>
      </c>
      <c r="N73" s="46" t="s">
        <v>30</v>
      </c>
      <c r="O73" s="43" t="s">
        <v>115</v>
      </c>
      <c r="P73" s="44" t="s">
        <v>25</v>
      </c>
      <c r="Q73" s="49" t="s">
        <v>113</v>
      </c>
      <c r="R73" s="1"/>
      <c r="S73" s="1"/>
      <c r="T73" s="1"/>
      <c r="U73" s="1"/>
      <c r="V73" s="1"/>
      <c r="W73" s="1"/>
      <c r="X73" s="1"/>
      <c r="Y73" s="1"/>
      <c r="Z73" s="1"/>
      <c r="AA73" s="1"/>
      <c r="AB73" s="1"/>
      <c r="AC73" s="1"/>
      <c r="AD73" s="1"/>
      <c r="AE73" s="1"/>
    </row>
    <row r="74" spans="1:31" x14ac:dyDescent="0.25">
      <c r="A74" s="1"/>
      <c r="B74" s="128"/>
      <c r="C74" s="36" t="s">
        <v>116</v>
      </c>
      <c r="D74" s="37" t="s">
        <v>25</v>
      </c>
      <c r="E74" s="39" t="s">
        <v>32</v>
      </c>
      <c r="F74" s="39">
        <v>1</v>
      </c>
      <c r="G74" s="38">
        <v>45816</v>
      </c>
      <c r="H74" s="40"/>
      <c r="I74" s="41"/>
      <c r="J74" s="40"/>
      <c r="K74" s="41"/>
      <c r="L74" s="39">
        <v>0</v>
      </c>
      <c r="M74" s="39" t="s">
        <v>25</v>
      </c>
      <c r="N74" s="39" t="s">
        <v>30</v>
      </c>
      <c r="O74" s="36" t="s">
        <v>117</v>
      </c>
      <c r="P74" s="36" t="s">
        <v>118</v>
      </c>
      <c r="Q74" s="42" t="s">
        <v>119</v>
      </c>
      <c r="R74" s="1"/>
      <c r="S74" s="1"/>
      <c r="T74" s="1"/>
      <c r="U74" s="1"/>
      <c r="V74" s="1"/>
      <c r="W74" s="1"/>
      <c r="X74" s="1"/>
      <c r="Y74" s="1"/>
      <c r="Z74" s="1"/>
      <c r="AA74" s="1"/>
      <c r="AB74" s="1"/>
      <c r="AC74" s="1"/>
      <c r="AD74" s="1"/>
      <c r="AE74" s="1"/>
    </row>
    <row r="75" spans="1:31" ht="25" x14ac:dyDescent="0.25">
      <c r="A75" s="1"/>
      <c r="B75" s="128"/>
      <c r="C75" s="43" t="s">
        <v>34</v>
      </c>
      <c r="D75" s="44" t="s">
        <v>25</v>
      </c>
      <c r="E75" s="46" t="s">
        <v>32</v>
      </c>
      <c r="F75" s="46">
        <v>2</v>
      </c>
      <c r="G75" s="45">
        <v>45879</v>
      </c>
      <c r="H75" s="47"/>
      <c r="I75" s="46"/>
      <c r="J75" s="47"/>
      <c r="K75" s="48"/>
      <c r="L75" s="46">
        <v>0</v>
      </c>
      <c r="M75" s="46">
        <v>0</v>
      </c>
      <c r="N75" s="46" t="s">
        <v>30</v>
      </c>
      <c r="O75" s="43" t="s">
        <v>71</v>
      </c>
      <c r="P75" s="43" t="s">
        <v>72</v>
      </c>
      <c r="Q75" s="49" t="s">
        <v>120</v>
      </c>
      <c r="R75" s="1"/>
      <c r="S75" s="1"/>
      <c r="T75" s="1"/>
      <c r="U75" s="1"/>
      <c r="V75" s="1"/>
      <c r="W75" s="1"/>
      <c r="X75" s="1"/>
      <c r="Y75" s="1"/>
      <c r="Z75" s="1"/>
      <c r="AA75" s="1"/>
      <c r="AB75" s="1"/>
      <c r="AC75" s="1"/>
      <c r="AD75" s="1"/>
      <c r="AE75" s="1"/>
    </row>
    <row r="76" spans="1:31" x14ac:dyDescent="0.25">
      <c r="A76" s="1"/>
      <c r="B76" s="131"/>
      <c r="C76" s="59" t="s">
        <v>121</v>
      </c>
      <c r="D76" s="60" t="s">
        <v>25</v>
      </c>
      <c r="E76" s="61" t="s">
        <v>32</v>
      </c>
      <c r="F76" s="61">
        <v>2</v>
      </c>
      <c r="G76" s="61" t="s">
        <v>25</v>
      </c>
      <c r="H76" s="62"/>
      <c r="I76" s="61"/>
      <c r="J76" s="62"/>
      <c r="K76" s="63"/>
      <c r="L76" s="61">
        <v>0</v>
      </c>
      <c r="M76" s="61">
        <v>0</v>
      </c>
      <c r="N76" s="61" t="s">
        <v>30</v>
      </c>
      <c r="O76" s="60" t="s">
        <v>25</v>
      </c>
      <c r="P76" s="60" t="s">
        <v>25</v>
      </c>
      <c r="Q76" s="71" t="s">
        <v>122</v>
      </c>
      <c r="R76" s="1"/>
      <c r="S76" s="1"/>
      <c r="T76" s="1"/>
      <c r="U76" s="1"/>
      <c r="V76" s="1"/>
      <c r="W76" s="1"/>
      <c r="X76" s="1"/>
      <c r="Y76" s="1"/>
      <c r="Z76" s="1"/>
      <c r="AA76" s="1"/>
      <c r="AB76" s="1"/>
      <c r="AC76" s="1"/>
      <c r="AD76" s="1"/>
      <c r="AE76" s="1"/>
    </row>
    <row r="77" spans="1:31" ht="13" x14ac:dyDescent="0.25">
      <c r="A77" s="1"/>
      <c r="B77" s="170" t="s">
        <v>141</v>
      </c>
      <c r="C77" s="172"/>
      <c r="D77" s="172"/>
      <c r="E77" s="172"/>
      <c r="F77" s="172"/>
      <c r="G77" s="172"/>
      <c r="H77" s="172"/>
      <c r="I77" s="172"/>
      <c r="J77" s="172"/>
      <c r="K77" s="172"/>
      <c r="L77" s="172"/>
      <c r="M77" s="172"/>
      <c r="N77" s="172"/>
      <c r="O77" s="172"/>
      <c r="P77" s="172"/>
      <c r="Q77" s="173"/>
      <c r="R77" s="1"/>
      <c r="S77" s="1"/>
      <c r="T77" s="1"/>
      <c r="U77" s="1"/>
      <c r="V77" s="1"/>
      <c r="W77" s="1"/>
      <c r="X77" s="1"/>
      <c r="Y77" s="1"/>
      <c r="Z77" s="1"/>
      <c r="AA77" s="1"/>
      <c r="AB77" s="1"/>
      <c r="AC77" s="1"/>
      <c r="AD77" s="1"/>
      <c r="AE77" s="1"/>
    </row>
    <row r="78" spans="1:31" x14ac:dyDescent="0.25">
      <c r="A78" s="1"/>
      <c r="B78" s="1"/>
      <c r="C78" s="5"/>
      <c r="D78" s="5"/>
      <c r="E78" s="1"/>
      <c r="F78" s="1"/>
      <c r="G78" s="1"/>
      <c r="H78" s="1"/>
      <c r="I78" s="1"/>
      <c r="J78" s="1"/>
      <c r="K78" s="1"/>
      <c r="L78" s="1"/>
      <c r="M78" s="1"/>
      <c r="N78" s="1"/>
      <c r="O78" s="5"/>
      <c r="P78" s="5"/>
      <c r="Q78" s="5"/>
      <c r="R78" s="1"/>
      <c r="S78" s="1"/>
      <c r="T78" s="1"/>
      <c r="U78" s="1"/>
      <c r="V78" s="1"/>
      <c r="W78" s="1"/>
      <c r="X78" s="1"/>
      <c r="Y78" s="1"/>
      <c r="Z78" s="1"/>
      <c r="AA78" s="1"/>
      <c r="AB78" s="1"/>
      <c r="AC78" s="1"/>
      <c r="AD78" s="1"/>
      <c r="AE78" s="1"/>
    </row>
    <row r="79" spans="1:31" x14ac:dyDescent="0.25">
      <c r="A79" s="1"/>
      <c r="B79" s="1"/>
      <c r="C79" s="5"/>
      <c r="D79" s="5"/>
      <c r="E79" s="1"/>
      <c r="F79" s="1"/>
      <c r="G79" s="1"/>
      <c r="H79" s="1"/>
      <c r="I79" s="1"/>
      <c r="J79" s="1"/>
      <c r="K79" s="1"/>
      <c r="L79" s="1"/>
      <c r="M79" s="1"/>
      <c r="N79" s="1"/>
      <c r="O79" s="5"/>
      <c r="P79" s="5"/>
      <c r="Q79" s="5"/>
      <c r="R79" s="1"/>
      <c r="S79" s="1"/>
      <c r="T79" s="1"/>
      <c r="U79" s="1"/>
      <c r="V79" s="1"/>
      <c r="W79" s="1"/>
      <c r="X79" s="1"/>
      <c r="Y79" s="1"/>
      <c r="Z79" s="1"/>
      <c r="AA79" s="1"/>
      <c r="AB79" s="1"/>
      <c r="AC79" s="1"/>
      <c r="AD79" s="1"/>
      <c r="AE79" s="1"/>
    </row>
    <row r="80" spans="1:31" x14ac:dyDescent="0.25">
      <c r="A80" s="1"/>
      <c r="B80" s="132" t="s">
        <v>124</v>
      </c>
      <c r="C80" s="135" t="s">
        <v>7</v>
      </c>
      <c r="D80" s="135" t="s">
        <v>8</v>
      </c>
      <c r="E80" s="135" t="s">
        <v>9</v>
      </c>
      <c r="F80" s="139" t="s">
        <v>10</v>
      </c>
      <c r="G80" s="142" t="s">
        <v>11</v>
      </c>
      <c r="H80" s="143" t="s">
        <v>12</v>
      </c>
      <c r="I80" s="144"/>
      <c r="J80" s="144"/>
      <c r="K80" s="145"/>
      <c r="L80" s="146" t="s">
        <v>13</v>
      </c>
      <c r="M80" s="147"/>
      <c r="N80" s="150" t="s">
        <v>14</v>
      </c>
      <c r="O80" s="138" t="s">
        <v>15</v>
      </c>
      <c r="P80" s="138" t="s">
        <v>16</v>
      </c>
      <c r="Q80" s="135" t="s">
        <v>17</v>
      </c>
      <c r="R80" s="1"/>
      <c r="S80" s="1"/>
      <c r="T80" s="1"/>
      <c r="U80" s="1"/>
      <c r="V80" s="1"/>
      <c r="W80" s="1"/>
      <c r="X80" s="1"/>
      <c r="Y80" s="1"/>
      <c r="Z80" s="1"/>
      <c r="AA80" s="1"/>
      <c r="AB80" s="1"/>
      <c r="AC80" s="1"/>
      <c r="AD80" s="1"/>
      <c r="AE80" s="1"/>
    </row>
    <row r="81" spans="1:31" x14ac:dyDescent="0.25">
      <c r="A81" s="1"/>
      <c r="B81" s="133"/>
      <c r="C81" s="136"/>
      <c r="D81" s="136"/>
      <c r="E81" s="136"/>
      <c r="F81" s="140"/>
      <c r="G81" s="128"/>
      <c r="H81" s="152" t="s">
        <v>18</v>
      </c>
      <c r="I81" s="153"/>
      <c r="J81" s="154" t="s">
        <v>19</v>
      </c>
      <c r="K81" s="153"/>
      <c r="L81" s="148"/>
      <c r="M81" s="149"/>
      <c r="N81" s="149"/>
      <c r="O81" s="136"/>
      <c r="P81" s="136"/>
      <c r="Q81" s="136"/>
      <c r="R81" s="1"/>
      <c r="S81" s="1"/>
      <c r="T81" s="1"/>
      <c r="U81" s="1"/>
      <c r="V81" s="1"/>
      <c r="W81" s="1"/>
      <c r="X81" s="1"/>
      <c r="Y81" s="1"/>
      <c r="Z81" s="1"/>
      <c r="AA81" s="1"/>
      <c r="AB81" s="1"/>
      <c r="AC81" s="1"/>
      <c r="AD81" s="1"/>
      <c r="AE81" s="1"/>
    </row>
    <row r="82" spans="1:31" ht="13" x14ac:dyDescent="0.25">
      <c r="A82" s="1"/>
      <c r="B82" s="134"/>
      <c r="C82" s="137"/>
      <c r="D82" s="137"/>
      <c r="E82" s="137"/>
      <c r="F82" s="141"/>
      <c r="G82" s="128"/>
      <c r="H82" s="9" t="s">
        <v>20</v>
      </c>
      <c r="I82" s="10" t="s">
        <v>21</v>
      </c>
      <c r="J82" s="11" t="s">
        <v>20</v>
      </c>
      <c r="K82" s="10" t="s">
        <v>21</v>
      </c>
      <c r="L82" s="12" t="s">
        <v>22</v>
      </c>
      <c r="M82" s="12" t="s">
        <v>23</v>
      </c>
      <c r="N82" s="151"/>
      <c r="O82" s="137"/>
      <c r="P82" s="137"/>
      <c r="Q82" s="137"/>
      <c r="R82" s="1"/>
      <c r="S82" s="1"/>
      <c r="T82" s="1"/>
      <c r="U82" s="1"/>
      <c r="V82" s="1"/>
      <c r="W82" s="1"/>
      <c r="X82" s="1"/>
      <c r="Y82" s="1"/>
      <c r="Z82" s="1"/>
      <c r="AA82" s="1"/>
      <c r="AB82" s="1"/>
      <c r="AC82" s="1"/>
      <c r="AD82" s="1"/>
      <c r="AE82" s="1"/>
    </row>
    <row r="83" spans="1:31" ht="25" x14ac:dyDescent="0.25">
      <c r="A83" s="1"/>
      <c r="B83" s="127" t="s">
        <v>140</v>
      </c>
      <c r="C83" s="13" t="s">
        <v>41</v>
      </c>
      <c r="D83" s="14" t="s">
        <v>25</v>
      </c>
      <c r="E83" s="15">
        <v>45659</v>
      </c>
      <c r="F83" s="14">
        <v>2</v>
      </c>
      <c r="G83" s="15">
        <v>45816</v>
      </c>
      <c r="H83" s="16"/>
      <c r="I83" s="17"/>
      <c r="J83" s="18"/>
      <c r="K83" s="17"/>
      <c r="L83" s="14">
        <v>0</v>
      </c>
      <c r="M83" s="14">
        <v>0</v>
      </c>
      <c r="N83" s="14" t="s">
        <v>30</v>
      </c>
      <c r="O83" s="13" t="s">
        <v>42</v>
      </c>
      <c r="P83" s="13" t="s">
        <v>43</v>
      </c>
      <c r="Q83" s="19" t="s">
        <v>44</v>
      </c>
      <c r="R83" s="1"/>
      <c r="S83" s="1"/>
      <c r="T83" s="1"/>
      <c r="U83" s="1"/>
      <c r="V83" s="1"/>
      <c r="W83" s="1"/>
      <c r="X83" s="1"/>
      <c r="Y83" s="1"/>
      <c r="Z83" s="1"/>
      <c r="AA83" s="1"/>
      <c r="AB83" s="1"/>
      <c r="AC83" s="1"/>
      <c r="AD83" s="1"/>
      <c r="AE83" s="1"/>
    </row>
    <row r="84" spans="1:31" ht="25" x14ac:dyDescent="0.25">
      <c r="A84" s="1"/>
      <c r="B84" s="128"/>
      <c r="C84" s="90" t="s">
        <v>45</v>
      </c>
      <c r="D84" s="21" t="s">
        <v>25</v>
      </c>
      <c r="E84" s="22">
        <v>45692</v>
      </c>
      <c r="F84" s="21">
        <v>2</v>
      </c>
      <c r="G84" s="22">
        <v>45816</v>
      </c>
      <c r="H84" s="23"/>
      <c r="I84" s="24"/>
      <c r="J84" s="25"/>
      <c r="K84" s="24"/>
      <c r="L84" s="21">
        <v>1</v>
      </c>
      <c r="M84" s="21">
        <v>0</v>
      </c>
      <c r="N84" s="21" t="s">
        <v>26</v>
      </c>
      <c r="O84" s="21" t="s">
        <v>46</v>
      </c>
      <c r="P84" s="21" t="s">
        <v>46</v>
      </c>
      <c r="Q84" s="26" t="s">
        <v>47</v>
      </c>
      <c r="R84" s="1"/>
      <c r="S84" s="1"/>
      <c r="T84" s="1"/>
      <c r="U84" s="1"/>
      <c r="V84" s="1"/>
      <c r="W84" s="1"/>
      <c r="X84" s="1"/>
      <c r="Y84" s="1"/>
      <c r="Z84" s="1"/>
      <c r="AA84" s="1"/>
      <c r="AB84" s="1"/>
      <c r="AC84" s="1"/>
      <c r="AD84" s="1"/>
      <c r="AE84" s="1"/>
    </row>
    <row r="85" spans="1:31" ht="25" x14ac:dyDescent="0.25">
      <c r="A85" s="1"/>
      <c r="B85" s="128"/>
      <c r="C85" s="20" t="s">
        <v>24</v>
      </c>
      <c r="D85" s="21" t="s">
        <v>25</v>
      </c>
      <c r="E85" s="22">
        <v>45692</v>
      </c>
      <c r="F85" s="21">
        <v>2</v>
      </c>
      <c r="G85" s="22">
        <v>45816</v>
      </c>
      <c r="H85" s="23"/>
      <c r="I85" s="24"/>
      <c r="J85" s="25"/>
      <c r="K85" s="24"/>
      <c r="L85" s="21">
        <v>1</v>
      </c>
      <c r="M85" s="21">
        <v>0</v>
      </c>
      <c r="N85" s="21" t="s">
        <v>26</v>
      </c>
      <c r="O85" s="20" t="s">
        <v>27</v>
      </c>
      <c r="P85" s="20" t="s">
        <v>28</v>
      </c>
      <c r="Q85" s="26" t="s">
        <v>29</v>
      </c>
      <c r="R85" s="1"/>
      <c r="S85" s="1"/>
      <c r="T85" s="1"/>
      <c r="U85" s="1"/>
      <c r="V85" s="1"/>
      <c r="W85" s="1"/>
      <c r="X85" s="1"/>
      <c r="Y85" s="1"/>
      <c r="Z85" s="1"/>
      <c r="AA85" s="1"/>
      <c r="AB85" s="1"/>
      <c r="AC85" s="1"/>
      <c r="AD85" s="1"/>
      <c r="AE85" s="1"/>
    </row>
    <row r="86" spans="1:31" ht="25" x14ac:dyDescent="0.25">
      <c r="A86" s="1"/>
      <c r="B86" s="128"/>
      <c r="C86" s="20" t="s">
        <v>31</v>
      </c>
      <c r="D86" s="21" t="s">
        <v>25</v>
      </c>
      <c r="E86" s="21" t="s">
        <v>32</v>
      </c>
      <c r="F86" s="21">
        <v>1</v>
      </c>
      <c r="G86" s="22">
        <v>45879</v>
      </c>
      <c r="H86" s="23"/>
      <c r="I86" s="24"/>
      <c r="J86" s="25"/>
      <c r="K86" s="24"/>
      <c r="L86" s="21">
        <v>0</v>
      </c>
      <c r="M86" s="21" t="s">
        <v>25</v>
      </c>
      <c r="N86" s="21" t="s">
        <v>30</v>
      </c>
      <c r="O86" s="20" t="s">
        <v>33</v>
      </c>
      <c r="P86" s="20" t="s">
        <v>34</v>
      </c>
      <c r="Q86" s="26" t="s">
        <v>35</v>
      </c>
      <c r="R86" s="1"/>
      <c r="S86" s="1"/>
      <c r="T86" s="1"/>
      <c r="U86" s="1"/>
      <c r="V86" s="1"/>
      <c r="W86" s="1"/>
      <c r="X86" s="1"/>
      <c r="Y86" s="1"/>
      <c r="Z86" s="1"/>
      <c r="AA86" s="1"/>
      <c r="AB86" s="1"/>
      <c r="AC86" s="1"/>
      <c r="AD86" s="1"/>
      <c r="AE86" s="1"/>
    </row>
    <row r="87" spans="1:31" ht="25" x14ac:dyDescent="0.25">
      <c r="A87" s="1"/>
      <c r="B87" s="128"/>
      <c r="C87" s="20" t="s">
        <v>36</v>
      </c>
      <c r="D87" s="21" t="s">
        <v>25</v>
      </c>
      <c r="E87" s="22">
        <v>45659</v>
      </c>
      <c r="F87" s="21">
        <v>2</v>
      </c>
      <c r="G87" s="22">
        <v>45816</v>
      </c>
      <c r="H87" s="23"/>
      <c r="I87" s="24"/>
      <c r="J87" s="25"/>
      <c r="K87" s="24"/>
      <c r="L87" s="21">
        <v>1</v>
      </c>
      <c r="M87" s="21">
        <v>0</v>
      </c>
      <c r="N87" s="21" t="s">
        <v>37</v>
      </c>
      <c r="O87" s="20" t="s">
        <v>38</v>
      </c>
      <c r="P87" s="20" t="s">
        <v>39</v>
      </c>
      <c r="Q87" s="26" t="s">
        <v>40</v>
      </c>
      <c r="R87" s="1"/>
      <c r="S87" s="1"/>
      <c r="T87" s="1"/>
      <c r="U87" s="1"/>
      <c r="V87" s="1"/>
      <c r="W87" s="1"/>
      <c r="X87" s="1"/>
      <c r="Y87" s="1"/>
      <c r="Z87" s="1"/>
      <c r="AA87" s="1"/>
      <c r="AB87" s="1"/>
      <c r="AC87" s="1"/>
      <c r="AD87" s="1"/>
      <c r="AE87" s="1"/>
    </row>
    <row r="88" spans="1:31" ht="37.5" x14ac:dyDescent="0.25">
      <c r="A88" s="1"/>
      <c r="B88" s="129"/>
      <c r="C88" s="20" t="s">
        <v>52</v>
      </c>
      <c r="D88" s="21" t="s">
        <v>25</v>
      </c>
      <c r="E88" s="21" t="s">
        <v>32</v>
      </c>
      <c r="F88" s="21">
        <v>1</v>
      </c>
      <c r="G88" s="22">
        <v>45816</v>
      </c>
      <c r="H88" s="23"/>
      <c r="I88" s="24"/>
      <c r="J88" s="25"/>
      <c r="K88" s="24"/>
      <c r="L88" s="21">
        <v>0</v>
      </c>
      <c r="M88" s="21" t="s">
        <v>25</v>
      </c>
      <c r="N88" s="21" t="s">
        <v>30</v>
      </c>
      <c r="O88" s="20" t="s">
        <v>53</v>
      </c>
      <c r="P88" s="20" t="s">
        <v>54</v>
      </c>
      <c r="Q88" s="26" t="s">
        <v>55</v>
      </c>
      <c r="R88" s="1"/>
      <c r="S88" s="1"/>
      <c r="T88" s="1"/>
      <c r="U88" s="1"/>
      <c r="V88" s="1"/>
      <c r="W88" s="1"/>
      <c r="X88" s="1"/>
      <c r="Y88" s="1"/>
      <c r="Z88" s="1"/>
      <c r="AA88" s="1"/>
      <c r="AB88" s="1"/>
      <c r="AC88" s="1"/>
      <c r="AD88" s="1"/>
      <c r="AE88" s="1"/>
    </row>
    <row r="89" spans="1:31" ht="13" x14ac:dyDescent="0.25">
      <c r="A89" s="1"/>
      <c r="B89" s="155" t="s">
        <v>141</v>
      </c>
      <c r="C89" s="156"/>
      <c r="D89" s="156"/>
      <c r="E89" s="156"/>
      <c r="F89" s="156"/>
      <c r="G89" s="156"/>
      <c r="H89" s="156"/>
      <c r="I89" s="156"/>
      <c r="J89" s="156"/>
      <c r="K89" s="156"/>
      <c r="L89" s="156"/>
      <c r="M89" s="156"/>
      <c r="N89" s="156"/>
      <c r="O89" s="156"/>
      <c r="P89" s="156"/>
      <c r="Q89" s="157"/>
      <c r="R89" s="1"/>
      <c r="S89" s="1"/>
      <c r="T89" s="1"/>
      <c r="U89" s="1"/>
      <c r="V89" s="1"/>
      <c r="W89" s="1"/>
      <c r="X89" s="1"/>
      <c r="Y89" s="1"/>
      <c r="Z89" s="1"/>
      <c r="AA89" s="1"/>
      <c r="AB89" s="1"/>
      <c r="AC89" s="1"/>
      <c r="AD89" s="1"/>
      <c r="AE89" s="1"/>
    </row>
    <row r="90" spans="1:31" ht="25" x14ac:dyDescent="0.25">
      <c r="A90" s="1"/>
      <c r="B90" s="130" t="s">
        <v>142</v>
      </c>
      <c r="C90" s="52" t="s">
        <v>56</v>
      </c>
      <c r="D90" s="53" t="s">
        <v>25</v>
      </c>
      <c r="E90" s="54">
        <v>45691</v>
      </c>
      <c r="F90" s="55">
        <v>2</v>
      </c>
      <c r="G90" s="54">
        <v>45879</v>
      </c>
      <c r="H90" s="56"/>
      <c r="I90" s="57"/>
      <c r="J90" s="56"/>
      <c r="K90" s="57"/>
      <c r="L90" s="55">
        <v>1</v>
      </c>
      <c r="M90" s="55">
        <v>0</v>
      </c>
      <c r="N90" s="55" t="s">
        <v>37</v>
      </c>
      <c r="O90" s="52" t="s">
        <v>57</v>
      </c>
      <c r="P90" s="52" t="s">
        <v>39</v>
      </c>
      <c r="Q90" s="58" t="s">
        <v>58</v>
      </c>
      <c r="R90" s="1"/>
      <c r="S90" s="1"/>
      <c r="T90" s="1"/>
      <c r="U90" s="1"/>
      <c r="V90" s="1"/>
      <c r="W90" s="1"/>
      <c r="X90" s="1"/>
      <c r="Y90" s="1"/>
      <c r="Z90" s="1"/>
      <c r="AA90" s="1"/>
      <c r="AB90" s="1"/>
      <c r="AC90" s="1"/>
      <c r="AD90" s="1"/>
      <c r="AE90" s="1"/>
    </row>
    <row r="91" spans="1:31" ht="25" x14ac:dyDescent="0.25">
      <c r="A91" s="1"/>
      <c r="B91" s="128"/>
      <c r="C91" s="43" t="s">
        <v>59</v>
      </c>
      <c r="D91" s="44" t="s">
        <v>25</v>
      </c>
      <c r="E91" s="45">
        <v>45691</v>
      </c>
      <c r="F91" s="46">
        <v>2</v>
      </c>
      <c r="G91" s="45">
        <v>45879</v>
      </c>
      <c r="H91" s="47"/>
      <c r="I91" s="48"/>
      <c r="J91" s="47"/>
      <c r="K91" s="48"/>
      <c r="L91" s="46">
        <v>1</v>
      </c>
      <c r="M91" s="46">
        <v>0</v>
      </c>
      <c r="N91" s="46" t="s">
        <v>37</v>
      </c>
      <c r="O91" s="43" t="s">
        <v>60</v>
      </c>
      <c r="P91" s="43" t="s">
        <v>61</v>
      </c>
      <c r="Q91" s="49" t="s">
        <v>62</v>
      </c>
      <c r="R91" s="1"/>
      <c r="S91" s="1"/>
      <c r="T91" s="1"/>
      <c r="U91" s="1"/>
      <c r="V91" s="1"/>
      <c r="W91" s="1"/>
      <c r="X91" s="1"/>
      <c r="Y91" s="1"/>
      <c r="Z91" s="1"/>
      <c r="AA91" s="1"/>
      <c r="AB91" s="1"/>
      <c r="AC91" s="1"/>
      <c r="AD91" s="1"/>
      <c r="AE91" s="1"/>
    </row>
    <row r="92" spans="1:31" x14ac:dyDescent="0.25">
      <c r="A92" s="1"/>
      <c r="B92" s="128"/>
      <c r="C92" s="36" t="s">
        <v>63</v>
      </c>
      <c r="D92" s="37" t="s">
        <v>25</v>
      </c>
      <c r="E92" s="38">
        <v>45659</v>
      </c>
      <c r="F92" s="39">
        <v>1</v>
      </c>
      <c r="G92" s="38">
        <v>45816</v>
      </c>
      <c r="H92" s="40"/>
      <c r="I92" s="41"/>
      <c r="J92" s="40"/>
      <c r="K92" s="41"/>
      <c r="L92" s="39">
        <v>0</v>
      </c>
      <c r="M92" s="39" t="s">
        <v>25</v>
      </c>
      <c r="N92" s="39" t="s">
        <v>30</v>
      </c>
      <c r="O92" s="36" t="s">
        <v>64</v>
      </c>
      <c r="P92" s="36" t="s">
        <v>65</v>
      </c>
      <c r="Q92" s="42" t="s">
        <v>66</v>
      </c>
      <c r="R92" s="1"/>
      <c r="S92" s="1"/>
      <c r="T92" s="1"/>
      <c r="U92" s="1"/>
      <c r="V92" s="1"/>
      <c r="W92" s="1"/>
      <c r="X92" s="1"/>
      <c r="Y92" s="1"/>
      <c r="Z92" s="1"/>
      <c r="AA92" s="1"/>
      <c r="AB92" s="1"/>
      <c r="AC92" s="1"/>
      <c r="AD92" s="1"/>
      <c r="AE92" s="1"/>
    </row>
    <row r="93" spans="1:31" ht="25" x14ac:dyDescent="0.25">
      <c r="A93" s="1"/>
      <c r="B93" s="128"/>
      <c r="C93" s="43" t="s">
        <v>67</v>
      </c>
      <c r="D93" s="44" t="s">
        <v>25</v>
      </c>
      <c r="E93" s="45">
        <v>45692</v>
      </c>
      <c r="F93" s="46">
        <v>2</v>
      </c>
      <c r="G93" s="45">
        <v>45879</v>
      </c>
      <c r="H93" s="47"/>
      <c r="I93" s="48"/>
      <c r="J93" s="47"/>
      <c r="K93" s="48"/>
      <c r="L93" s="46">
        <v>1</v>
      </c>
      <c r="M93" s="46">
        <v>0</v>
      </c>
      <c r="N93" s="46" t="s">
        <v>26</v>
      </c>
      <c r="O93" s="43" t="s">
        <v>68</v>
      </c>
      <c r="P93" s="43" t="s">
        <v>69</v>
      </c>
      <c r="Q93" s="49" t="s">
        <v>70</v>
      </c>
      <c r="R93" s="1"/>
      <c r="S93" s="1"/>
      <c r="T93" s="1"/>
      <c r="U93" s="1"/>
      <c r="V93" s="1"/>
      <c r="W93" s="1"/>
      <c r="X93" s="1"/>
      <c r="Y93" s="1"/>
      <c r="Z93" s="1"/>
      <c r="AA93" s="1"/>
      <c r="AB93" s="1"/>
      <c r="AC93" s="1"/>
      <c r="AD93" s="1"/>
      <c r="AE93" s="1"/>
    </row>
    <row r="94" spans="1:31" ht="25" x14ac:dyDescent="0.25">
      <c r="A94" s="1"/>
      <c r="B94" s="128"/>
      <c r="C94" s="36" t="s">
        <v>71</v>
      </c>
      <c r="D94" s="37" t="s">
        <v>25</v>
      </c>
      <c r="E94" s="39" t="s">
        <v>32</v>
      </c>
      <c r="F94" s="39">
        <v>2</v>
      </c>
      <c r="G94" s="38">
        <v>45879</v>
      </c>
      <c r="H94" s="40"/>
      <c r="I94" s="41"/>
      <c r="J94" s="40"/>
      <c r="K94" s="41"/>
      <c r="L94" s="39">
        <v>0</v>
      </c>
      <c r="M94" s="39">
        <v>0</v>
      </c>
      <c r="N94" s="39" t="s">
        <v>30</v>
      </c>
      <c r="O94" s="36" t="s">
        <v>72</v>
      </c>
      <c r="P94" s="36" t="s">
        <v>34</v>
      </c>
      <c r="Q94" s="42" t="s">
        <v>73</v>
      </c>
      <c r="R94" s="1"/>
      <c r="S94" s="1"/>
      <c r="T94" s="1"/>
      <c r="U94" s="1"/>
      <c r="V94" s="1"/>
      <c r="W94" s="1"/>
      <c r="X94" s="1"/>
      <c r="Y94" s="1"/>
      <c r="Z94" s="1"/>
      <c r="AA94" s="1"/>
      <c r="AB94" s="1"/>
      <c r="AC94" s="1"/>
      <c r="AD94" s="1"/>
      <c r="AE94" s="1"/>
    </row>
    <row r="95" spans="1:31" ht="25" x14ac:dyDescent="0.25">
      <c r="A95" s="1"/>
      <c r="B95" s="128"/>
      <c r="C95" s="43" t="s">
        <v>74</v>
      </c>
      <c r="D95" s="44" t="s">
        <v>25</v>
      </c>
      <c r="E95" s="46" t="s">
        <v>32</v>
      </c>
      <c r="F95" s="46">
        <v>1</v>
      </c>
      <c r="G95" s="45">
        <v>45879</v>
      </c>
      <c r="H95" s="47"/>
      <c r="I95" s="48"/>
      <c r="J95" s="47"/>
      <c r="K95" s="48"/>
      <c r="L95" s="46">
        <v>0</v>
      </c>
      <c r="M95" s="46" t="s">
        <v>25</v>
      </c>
      <c r="N95" s="46" t="s">
        <v>30</v>
      </c>
      <c r="O95" s="43" t="s">
        <v>75</v>
      </c>
      <c r="P95" s="51" t="s">
        <v>76</v>
      </c>
      <c r="Q95" s="49" t="s">
        <v>77</v>
      </c>
      <c r="R95" s="1"/>
      <c r="S95" s="1"/>
      <c r="T95" s="1"/>
      <c r="U95" s="1"/>
      <c r="V95" s="1"/>
      <c r="W95" s="1"/>
      <c r="X95" s="1"/>
      <c r="Y95" s="1"/>
      <c r="Z95" s="1"/>
      <c r="AA95" s="1"/>
      <c r="AB95" s="1"/>
      <c r="AC95" s="1"/>
      <c r="AD95" s="1"/>
      <c r="AE95" s="1"/>
    </row>
    <row r="96" spans="1:31" ht="25" x14ac:dyDescent="0.25">
      <c r="A96" s="1"/>
      <c r="B96" s="128"/>
      <c r="C96" s="36" t="s">
        <v>78</v>
      </c>
      <c r="D96" s="37" t="s">
        <v>25</v>
      </c>
      <c r="E96" s="39" t="s">
        <v>32</v>
      </c>
      <c r="F96" s="39">
        <v>2</v>
      </c>
      <c r="G96" s="38">
        <v>45816</v>
      </c>
      <c r="H96" s="40"/>
      <c r="I96" s="41"/>
      <c r="J96" s="40"/>
      <c r="K96" s="41"/>
      <c r="L96" s="39">
        <v>0</v>
      </c>
      <c r="M96" s="39">
        <v>0</v>
      </c>
      <c r="N96" s="39" t="s">
        <v>30</v>
      </c>
      <c r="O96" s="50" t="s">
        <v>79</v>
      </c>
      <c r="P96" s="50" t="s">
        <v>80</v>
      </c>
      <c r="Q96" s="42" t="s">
        <v>81</v>
      </c>
      <c r="R96" s="1"/>
      <c r="S96" s="1"/>
      <c r="T96" s="1"/>
      <c r="U96" s="1"/>
      <c r="V96" s="1"/>
      <c r="W96" s="1"/>
      <c r="X96" s="1"/>
      <c r="Y96" s="1"/>
      <c r="Z96" s="1"/>
      <c r="AA96" s="1"/>
      <c r="AB96" s="1"/>
      <c r="AC96" s="1"/>
      <c r="AD96" s="1"/>
      <c r="AE96" s="1"/>
    </row>
    <row r="97" spans="1:31" ht="37.5" x14ac:dyDescent="0.25">
      <c r="A97" s="1"/>
      <c r="B97" s="130" t="s">
        <v>143</v>
      </c>
      <c r="C97" s="29" t="s">
        <v>48</v>
      </c>
      <c r="D97" s="30" t="s">
        <v>25</v>
      </c>
      <c r="E97" s="31">
        <v>45659</v>
      </c>
      <c r="F97" s="32">
        <v>2</v>
      </c>
      <c r="G97" s="31">
        <v>45879</v>
      </c>
      <c r="H97" s="33"/>
      <c r="I97" s="34"/>
      <c r="J97" s="33"/>
      <c r="K97" s="34"/>
      <c r="L97" s="32">
        <v>0</v>
      </c>
      <c r="M97" s="32">
        <v>0</v>
      </c>
      <c r="N97" s="32" t="s">
        <v>30</v>
      </c>
      <c r="O97" s="29" t="s">
        <v>49</v>
      </c>
      <c r="P97" s="29" t="s">
        <v>50</v>
      </c>
      <c r="Q97" s="35" t="s">
        <v>51</v>
      </c>
      <c r="R97" s="1"/>
      <c r="S97" s="1"/>
      <c r="T97" s="1"/>
      <c r="U97" s="1"/>
      <c r="V97" s="1"/>
      <c r="W97" s="1"/>
      <c r="X97" s="1"/>
      <c r="Y97" s="1"/>
      <c r="Z97" s="1"/>
      <c r="AA97" s="1"/>
      <c r="AB97" s="1"/>
      <c r="AC97" s="1"/>
      <c r="AD97" s="1"/>
      <c r="AE97" s="1"/>
    </row>
    <row r="98" spans="1:31" ht="37.5" x14ac:dyDescent="0.25">
      <c r="A98" s="1"/>
      <c r="B98" s="128"/>
      <c r="C98" s="36" t="s">
        <v>82</v>
      </c>
      <c r="D98" s="37" t="s">
        <v>25</v>
      </c>
      <c r="E98" s="38">
        <v>45691</v>
      </c>
      <c r="F98" s="39">
        <v>2</v>
      </c>
      <c r="G98" s="38">
        <v>45816</v>
      </c>
      <c r="H98" s="40"/>
      <c r="I98" s="41"/>
      <c r="J98" s="40"/>
      <c r="K98" s="41"/>
      <c r="L98" s="39">
        <v>2</v>
      </c>
      <c r="M98" s="39">
        <v>1</v>
      </c>
      <c r="N98" s="39" t="s">
        <v>37</v>
      </c>
      <c r="O98" s="36" t="s">
        <v>83</v>
      </c>
      <c r="P98" s="36" t="s">
        <v>84</v>
      </c>
      <c r="Q98" s="42" t="s">
        <v>85</v>
      </c>
      <c r="R98" s="1"/>
      <c r="S98" s="1"/>
      <c r="T98" s="1"/>
      <c r="U98" s="1"/>
      <c r="V98" s="1"/>
      <c r="W98" s="1"/>
      <c r="X98" s="1"/>
      <c r="Y98" s="1"/>
      <c r="Z98" s="1"/>
      <c r="AA98" s="1"/>
      <c r="AB98" s="1"/>
      <c r="AC98" s="1"/>
      <c r="AD98" s="1"/>
      <c r="AE98" s="1"/>
    </row>
    <row r="99" spans="1:31" x14ac:dyDescent="0.25">
      <c r="A99" s="1"/>
      <c r="B99" s="128"/>
      <c r="C99" s="43" t="s">
        <v>86</v>
      </c>
      <c r="D99" s="44" t="s">
        <v>25</v>
      </c>
      <c r="E99" s="45">
        <v>45692</v>
      </c>
      <c r="F99" s="46">
        <v>2</v>
      </c>
      <c r="G99" s="45">
        <v>45816</v>
      </c>
      <c r="H99" s="47"/>
      <c r="I99" s="48"/>
      <c r="J99" s="47"/>
      <c r="K99" s="48"/>
      <c r="L99" s="46">
        <v>1</v>
      </c>
      <c r="M99" s="46">
        <v>0</v>
      </c>
      <c r="N99" s="46" t="s">
        <v>37</v>
      </c>
      <c r="O99" s="43" t="s">
        <v>87</v>
      </c>
      <c r="P99" s="43" t="s">
        <v>88</v>
      </c>
      <c r="Q99" s="49" t="s">
        <v>89</v>
      </c>
      <c r="R99" s="1"/>
      <c r="S99" s="1"/>
      <c r="T99" s="1"/>
      <c r="U99" s="1"/>
      <c r="V99" s="1"/>
      <c r="W99" s="1"/>
      <c r="X99" s="1"/>
      <c r="Y99" s="1"/>
      <c r="Z99" s="1"/>
      <c r="AA99" s="1"/>
      <c r="AB99" s="1"/>
      <c r="AC99" s="1"/>
      <c r="AD99" s="1"/>
      <c r="AE99" s="1"/>
    </row>
    <row r="100" spans="1:31" ht="25" x14ac:dyDescent="0.25">
      <c r="A100" s="1"/>
      <c r="B100" s="128"/>
      <c r="C100" s="36" t="s">
        <v>90</v>
      </c>
      <c r="D100" s="37" t="s">
        <v>25</v>
      </c>
      <c r="E100" s="38">
        <v>45692</v>
      </c>
      <c r="F100" s="39">
        <v>1</v>
      </c>
      <c r="G100" s="38">
        <v>45816</v>
      </c>
      <c r="H100" s="40"/>
      <c r="I100" s="41"/>
      <c r="J100" s="40"/>
      <c r="K100" s="41"/>
      <c r="L100" s="39">
        <v>0</v>
      </c>
      <c r="M100" s="39" t="s">
        <v>25</v>
      </c>
      <c r="N100" s="39" t="s">
        <v>37</v>
      </c>
      <c r="O100" s="36" t="s">
        <v>91</v>
      </c>
      <c r="P100" s="36" t="s">
        <v>92</v>
      </c>
      <c r="Q100" s="42" t="s">
        <v>93</v>
      </c>
      <c r="R100" s="1"/>
      <c r="S100" s="1"/>
      <c r="T100" s="1"/>
      <c r="U100" s="1"/>
      <c r="V100" s="1"/>
      <c r="W100" s="1"/>
      <c r="X100" s="1"/>
      <c r="Y100" s="1"/>
      <c r="Z100" s="1"/>
      <c r="AA100" s="1"/>
      <c r="AB100" s="1"/>
      <c r="AC100" s="1"/>
      <c r="AD100" s="1"/>
      <c r="AE100" s="1"/>
    </row>
    <row r="101" spans="1:31" ht="37.5" x14ac:dyDescent="0.25">
      <c r="A101" s="1"/>
      <c r="B101" s="131"/>
      <c r="C101" s="64" t="s">
        <v>52</v>
      </c>
      <c r="D101" s="65" t="s">
        <v>25</v>
      </c>
      <c r="E101" s="66" t="s">
        <v>32</v>
      </c>
      <c r="F101" s="66">
        <v>2</v>
      </c>
      <c r="G101" s="69">
        <v>45879</v>
      </c>
      <c r="H101" s="67"/>
      <c r="I101" s="68"/>
      <c r="J101" s="67"/>
      <c r="K101" s="68"/>
      <c r="L101" s="66">
        <v>0</v>
      </c>
      <c r="M101" s="66">
        <v>0</v>
      </c>
      <c r="N101" s="66" t="s">
        <v>30</v>
      </c>
      <c r="O101" s="64" t="s">
        <v>53</v>
      </c>
      <c r="P101" s="64" t="s">
        <v>54</v>
      </c>
      <c r="Q101" s="70" t="s">
        <v>55</v>
      </c>
      <c r="R101" s="1"/>
      <c r="S101" s="1"/>
      <c r="T101" s="1"/>
      <c r="U101" s="1"/>
      <c r="V101" s="1"/>
      <c r="W101" s="1"/>
      <c r="X101" s="1"/>
      <c r="Y101" s="1"/>
      <c r="Z101" s="1"/>
      <c r="AA101" s="1"/>
      <c r="AB101" s="1"/>
      <c r="AC101" s="1"/>
      <c r="AD101" s="1"/>
      <c r="AE101" s="1"/>
    </row>
    <row r="102" spans="1:31" ht="37.5" x14ac:dyDescent="0.25">
      <c r="A102" s="1"/>
      <c r="B102" s="130" t="s">
        <v>94</v>
      </c>
      <c r="C102" s="36" t="s">
        <v>95</v>
      </c>
      <c r="D102" s="37" t="s">
        <v>25</v>
      </c>
      <c r="E102" s="39" t="s">
        <v>32</v>
      </c>
      <c r="F102" s="39">
        <v>2</v>
      </c>
      <c r="G102" s="38">
        <v>45816</v>
      </c>
      <c r="H102" s="40"/>
      <c r="I102" s="41"/>
      <c r="J102" s="40"/>
      <c r="K102" s="41"/>
      <c r="L102" s="39">
        <v>0</v>
      </c>
      <c r="M102" s="39">
        <v>0</v>
      </c>
      <c r="N102" s="39" t="s">
        <v>30</v>
      </c>
      <c r="O102" s="36" t="s">
        <v>96</v>
      </c>
      <c r="P102" s="36" t="s">
        <v>97</v>
      </c>
      <c r="Q102" s="42" t="s">
        <v>98</v>
      </c>
      <c r="R102" s="1"/>
      <c r="S102" s="1"/>
      <c r="T102" s="1"/>
      <c r="U102" s="1"/>
      <c r="V102" s="1"/>
      <c r="W102" s="1"/>
      <c r="X102" s="1"/>
      <c r="Y102" s="1"/>
      <c r="Z102" s="1"/>
      <c r="AA102" s="1"/>
      <c r="AB102" s="1"/>
      <c r="AC102" s="1"/>
      <c r="AD102" s="1"/>
      <c r="AE102" s="1"/>
    </row>
    <row r="103" spans="1:31" ht="25" x14ac:dyDescent="0.25">
      <c r="A103" s="1"/>
      <c r="B103" s="128"/>
      <c r="C103" s="43" t="s">
        <v>99</v>
      </c>
      <c r="D103" s="44" t="s">
        <v>25</v>
      </c>
      <c r="E103" s="46" t="s">
        <v>32</v>
      </c>
      <c r="F103" s="46">
        <v>2</v>
      </c>
      <c r="G103" s="45">
        <v>45879</v>
      </c>
      <c r="H103" s="47"/>
      <c r="I103" s="48"/>
      <c r="J103" s="47"/>
      <c r="K103" s="48"/>
      <c r="L103" s="46">
        <v>0</v>
      </c>
      <c r="M103" s="46">
        <v>0</v>
      </c>
      <c r="N103" s="46" t="s">
        <v>30</v>
      </c>
      <c r="O103" s="43" t="s">
        <v>100</v>
      </c>
      <c r="P103" s="43" t="s">
        <v>101</v>
      </c>
      <c r="Q103" s="49" t="s">
        <v>102</v>
      </c>
      <c r="R103" s="1"/>
      <c r="S103" s="1"/>
      <c r="T103" s="1"/>
      <c r="U103" s="1"/>
      <c r="V103" s="1"/>
      <c r="W103" s="1"/>
      <c r="X103" s="1"/>
      <c r="Y103" s="1"/>
      <c r="Z103" s="1"/>
      <c r="AA103" s="1"/>
      <c r="AB103" s="1"/>
      <c r="AC103" s="1"/>
      <c r="AD103" s="1"/>
      <c r="AE103" s="1"/>
    </row>
    <row r="104" spans="1:31" ht="25" x14ac:dyDescent="0.25">
      <c r="A104" s="1"/>
      <c r="B104" s="128"/>
      <c r="C104" s="36" t="s">
        <v>103</v>
      </c>
      <c r="D104" s="37" t="s">
        <v>25</v>
      </c>
      <c r="E104" s="39" t="s">
        <v>32</v>
      </c>
      <c r="F104" s="39">
        <v>1</v>
      </c>
      <c r="G104" s="38">
        <v>45879</v>
      </c>
      <c r="H104" s="40"/>
      <c r="I104" s="41"/>
      <c r="J104" s="40"/>
      <c r="K104" s="41"/>
      <c r="L104" s="39">
        <v>0</v>
      </c>
      <c r="M104" s="39" t="s">
        <v>25</v>
      </c>
      <c r="N104" s="39" t="s">
        <v>30</v>
      </c>
      <c r="O104" s="36" t="s">
        <v>104</v>
      </c>
      <c r="P104" s="36" t="s">
        <v>105</v>
      </c>
      <c r="Q104" s="42" t="s">
        <v>106</v>
      </c>
      <c r="R104" s="1"/>
      <c r="S104" s="1"/>
      <c r="T104" s="1"/>
      <c r="U104" s="1"/>
      <c r="V104" s="1"/>
      <c r="W104" s="1"/>
      <c r="X104" s="1"/>
      <c r="Y104" s="1"/>
      <c r="Z104" s="1"/>
      <c r="AA104" s="1"/>
      <c r="AB104" s="1"/>
      <c r="AC104" s="1"/>
      <c r="AD104" s="1"/>
      <c r="AE104" s="1"/>
    </row>
    <row r="105" spans="1:31" x14ac:dyDescent="0.25">
      <c r="A105" s="1"/>
      <c r="B105" s="128"/>
      <c r="C105" s="43" t="s">
        <v>107</v>
      </c>
      <c r="D105" s="44" t="s">
        <v>25</v>
      </c>
      <c r="E105" s="46" t="s">
        <v>32</v>
      </c>
      <c r="F105" s="46">
        <v>2</v>
      </c>
      <c r="G105" s="45">
        <v>45879</v>
      </c>
      <c r="H105" s="47"/>
      <c r="I105" s="48"/>
      <c r="J105" s="47"/>
      <c r="K105" s="48"/>
      <c r="L105" s="46">
        <v>0</v>
      </c>
      <c r="M105" s="46">
        <v>0</v>
      </c>
      <c r="N105" s="46" t="s">
        <v>30</v>
      </c>
      <c r="O105" s="43" t="s">
        <v>108</v>
      </c>
      <c r="P105" s="43" t="s">
        <v>109</v>
      </c>
      <c r="Q105" s="49" t="s">
        <v>110</v>
      </c>
      <c r="R105" s="1"/>
      <c r="S105" s="1"/>
      <c r="T105" s="1"/>
      <c r="U105" s="1"/>
      <c r="V105" s="1"/>
      <c r="W105" s="1"/>
      <c r="X105" s="1"/>
      <c r="Y105" s="1"/>
      <c r="Z105" s="1"/>
      <c r="AA105" s="1"/>
      <c r="AB105" s="1"/>
      <c r="AC105" s="1"/>
      <c r="AD105" s="1"/>
      <c r="AE105" s="1"/>
    </row>
    <row r="106" spans="1:31" x14ac:dyDescent="0.25">
      <c r="A106" s="1"/>
      <c r="B106" s="128"/>
      <c r="C106" s="36" t="s">
        <v>111</v>
      </c>
      <c r="D106" s="37" t="s">
        <v>25</v>
      </c>
      <c r="E106" s="39" t="s">
        <v>32</v>
      </c>
      <c r="F106" s="39">
        <v>2</v>
      </c>
      <c r="G106" s="38">
        <v>45879</v>
      </c>
      <c r="H106" s="40"/>
      <c r="I106" s="41"/>
      <c r="J106" s="40"/>
      <c r="K106" s="41"/>
      <c r="L106" s="39">
        <v>0</v>
      </c>
      <c r="M106" s="39">
        <v>0</v>
      </c>
      <c r="N106" s="39" t="s">
        <v>30</v>
      </c>
      <c r="O106" s="36" t="s">
        <v>112</v>
      </c>
      <c r="P106" s="37" t="s">
        <v>25</v>
      </c>
      <c r="Q106" s="42" t="s">
        <v>113</v>
      </c>
      <c r="R106" s="1"/>
      <c r="S106" s="1"/>
      <c r="T106" s="1"/>
      <c r="U106" s="1"/>
      <c r="V106" s="1"/>
      <c r="W106" s="1"/>
      <c r="X106" s="1"/>
      <c r="Y106" s="1"/>
      <c r="Z106" s="1"/>
      <c r="AA106" s="1"/>
      <c r="AB106" s="1"/>
      <c r="AC106" s="1"/>
      <c r="AD106" s="1"/>
      <c r="AE106" s="1"/>
    </row>
    <row r="107" spans="1:31" x14ac:dyDescent="0.25">
      <c r="A107" s="1"/>
      <c r="B107" s="128"/>
      <c r="C107" s="43" t="s">
        <v>114</v>
      </c>
      <c r="D107" s="44" t="s">
        <v>25</v>
      </c>
      <c r="E107" s="46" t="s">
        <v>32</v>
      </c>
      <c r="F107" s="46">
        <v>2</v>
      </c>
      <c r="G107" s="45">
        <v>45879</v>
      </c>
      <c r="H107" s="47"/>
      <c r="I107" s="48"/>
      <c r="J107" s="47"/>
      <c r="K107" s="48"/>
      <c r="L107" s="46">
        <v>0</v>
      </c>
      <c r="M107" s="46">
        <v>0</v>
      </c>
      <c r="N107" s="46" t="s">
        <v>30</v>
      </c>
      <c r="O107" s="43" t="s">
        <v>115</v>
      </c>
      <c r="P107" s="44" t="s">
        <v>25</v>
      </c>
      <c r="Q107" s="49" t="s">
        <v>113</v>
      </c>
      <c r="R107" s="1"/>
      <c r="S107" s="1"/>
      <c r="T107" s="1"/>
      <c r="U107" s="1"/>
      <c r="V107" s="1"/>
      <c r="W107" s="1"/>
      <c r="X107" s="1"/>
      <c r="Y107" s="1"/>
      <c r="Z107" s="1"/>
      <c r="AA107" s="1"/>
      <c r="AB107" s="1"/>
      <c r="AC107" s="1"/>
      <c r="AD107" s="1"/>
      <c r="AE107" s="1"/>
    </row>
    <row r="108" spans="1:31" x14ac:dyDescent="0.25">
      <c r="A108" s="1"/>
      <c r="B108" s="128"/>
      <c r="C108" s="36" t="s">
        <v>116</v>
      </c>
      <c r="D108" s="37" t="s">
        <v>25</v>
      </c>
      <c r="E108" s="39" t="s">
        <v>32</v>
      </c>
      <c r="F108" s="39">
        <v>1</v>
      </c>
      <c r="G108" s="38">
        <v>45816</v>
      </c>
      <c r="H108" s="40"/>
      <c r="I108" s="41"/>
      <c r="J108" s="40"/>
      <c r="K108" s="41"/>
      <c r="L108" s="39">
        <v>0</v>
      </c>
      <c r="M108" s="39" t="s">
        <v>25</v>
      </c>
      <c r="N108" s="39" t="s">
        <v>30</v>
      </c>
      <c r="O108" s="36" t="s">
        <v>117</v>
      </c>
      <c r="P108" s="36" t="s">
        <v>118</v>
      </c>
      <c r="Q108" s="42" t="s">
        <v>119</v>
      </c>
      <c r="R108" s="1"/>
      <c r="S108" s="1"/>
      <c r="T108" s="1"/>
      <c r="U108" s="1"/>
      <c r="V108" s="1"/>
      <c r="W108" s="1"/>
      <c r="X108" s="1"/>
      <c r="Y108" s="1"/>
      <c r="Z108" s="1"/>
      <c r="AA108" s="1"/>
      <c r="AB108" s="1"/>
      <c r="AC108" s="1"/>
      <c r="AD108" s="1"/>
      <c r="AE108" s="1"/>
    </row>
    <row r="109" spans="1:31" ht="25" x14ac:dyDescent="0.25">
      <c r="A109" s="1"/>
      <c r="B109" s="128"/>
      <c r="C109" s="43" t="s">
        <v>34</v>
      </c>
      <c r="D109" s="44" t="s">
        <v>25</v>
      </c>
      <c r="E109" s="46" t="s">
        <v>32</v>
      </c>
      <c r="F109" s="46">
        <v>2</v>
      </c>
      <c r="G109" s="45">
        <v>45879</v>
      </c>
      <c r="H109" s="47"/>
      <c r="I109" s="46"/>
      <c r="J109" s="47"/>
      <c r="K109" s="48"/>
      <c r="L109" s="46">
        <v>0</v>
      </c>
      <c r="M109" s="46">
        <v>0</v>
      </c>
      <c r="N109" s="46" t="s">
        <v>30</v>
      </c>
      <c r="O109" s="43" t="s">
        <v>71</v>
      </c>
      <c r="P109" s="43" t="s">
        <v>72</v>
      </c>
      <c r="Q109" s="49" t="s">
        <v>120</v>
      </c>
      <c r="R109" s="1"/>
      <c r="S109" s="1"/>
      <c r="T109" s="1"/>
      <c r="U109" s="1"/>
      <c r="V109" s="1"/>
      <c r="W109" s="1"/>
      <c r="X109" s="1"/>
      <c r="Y109" s="1"/>
      <c r="Z109" s="1"/>
      <c r="AA109" s="1"/>
      <c r="AB109" s="1"/>
      <c r="AC109" s="1"/>
      <c r="AD109" s="1"/>
      <c r="AE109" s="1"/>
    </row>
    <row r="110" spans="1:31" x14ac:dyDescent="0.25">
      <c r="A110" s="1"/>
      <c r="B110" s="131"/>
      <c r="C110" s="59" t="s">
        <v>121</v>
      </c>
      <c r="D110" s="60" t="s">
        <v>25</v>
      </c>
      <c r="E110" s="61" t="s">
        <v>32</v>
      </c>
      <c r="F110" s="61">
        <v>2</v>
      </c>
      <c r="G110" s="61" t="s">
        <v>25</v>
      </c>
      <c r="H110" s="62"/>
      <c r="I110" s="61"/>
      <c r="J110" s="62"/>
      <c r="K110" s="63"/>
      <c r="L110" s="61">
        <v>0</v>
      </c>
      <c r="M110" s="61">
        <v>0</v>
      </c>
      <c r="N110" s="61" t="s">
        <v>30</v>
      </c>
      <c r="O110" s="60" t="s">
        <v>25</v>
      </c>
      <c r="P110" s="60" t="s">
        <v>25</v>
      </c>
      <c r="Q110" s="71" t="s">
        <v>122</v>
      </c>
      <c r="R110" s="1"/>
      <c r="S110" s="1"/>
      <c r="T110" s="1"/>
      <c r="U110" s="1"/>
      <c r="V110" s="1"/>
      <c r="W110" s="1"/>
      <c r="X110" s="1"/>
      <c r="Y110" s="1"/>
      <c r="Z110" s="1"/>
      <c r="AA110" s="1"/>
      <c r="AB110" s="1"/>
      <c r="AC110" s="1"/>
      <c r="AD110" s="1"/>
      <c r="AE110" s="1"/>
    </row>
    <row r="111" spans="1:31" ht="13" x14ac:dyDescent="0.25">
      <c r="A111" s="1"/>
      <c r="B111" s="155" t="s">
        <v>141</v>
      </c>
      <c r="C111" s="156"/>
      <c r="D111" s="156"/>
      <c r="E111" s="156"/>
      <c r="F111" s="156"/>
      <c r="G111" s="156"/>
      <c r="H111" s="156"/>
      <c r="I111" s="156"/>
      <c r="J111" s="156"/>
      <c r="K111" s="156"/>
      <c r="L111" s="156"/>
      <c r="M111" s="156"/>
      <c r="N111" s="156"/>
      <c r="O111" s="156"/>
      <c r="P111" s="156"/>
      <c r="Q111" s="157"/>
      <c r="R111" s="1"/>
      <c r="S111" s="1"/>
      <c r="T111" s="1"/>
      <c r="U111" s="1"/>
      <c r="V111" s="1"/>
      <c r="W111" s="1"/>
      <c r="X111" s="1"/>
      <c r="Y111" s="1"/>
      <c r="Z111" s="1"/>
      <c r="AA111" s="1"/>
      <c r="AB111" s="1"/>
      <c r="AC111" s="1"/>
      <c r="AD111" s="1"/>
      <c r="AE111" s="1"/>
    </row>
    <row r="112" spans="1:31" x14ac:dyDescent="0.25">
      <c r="A112" s="1"/>
      <c r="B112" s="1"/>
      <c r="C112" s="5"/>
      <c r="D112" s="5"/>
      <c r="E112" s="1"/>
      <c r="F112" s="1"/>
      <c r="G112" s="1"/>
      <c r="H112" s="1"/>
      <c r="I112" s="1"/>
      <c r="J112" s="1"/>
      <c r="K112" s="1"/>
      <c r="L112" s="1"/>
      <c r="M112" s="1"/>
      <c r="N112" s="1"/>
      <c r="O112" s="5"/>
      <c r="P112" s="5"/>
      <c r="Q112" s="5"/>
      <c r="R112" s="1"/>
      <c r="S112" s="1"/>
      <c r="T112" s="1"/>
      <c r="U112" s="1"/>
      <c r="V112" s="1"/>
      <c r="W112" s="1"/>
      <c r="X112" s="1"/>
      <c r="Y112" s="1"/>
      <c r="Z112" s="1"/>
      <c r="AA112" s="1"/>
      <c r="AB112" s="1"/>
      <c r="AC112" s="1"/>
      <c r="AD112" s="1"/>
      <c r="AE112" s="1"/>
    </row>
    <row r="113" spans="1:31" x14ac:dyDescent="0.25">
      <c r="A113" s="1"/>
      <c r="B113" s="1"/>
      <c r="C113" s="5"/>
      <c r="D113" s="5"/>
      <c r="E113" s="1"/>
      <c r="F113" s="1"/>
      <c r="G113" s="1"/>
      <c r="H113" s="1"/>
      <c r="I113" s="1"/>
      <c r="J113" s="1"/>
      <c r="K113" s="1"/>
      <c r="L113" s="1"/>
      <c r="M113" s="1"/>
      <c r="N113" s="1"/>
      <c r="O113" s="5"/>
      <c r="P113" s="5"/>
      <c r="Q113" s="5"/>
      <c r="R113" s="1"/>
      <c r="S113" s="1"/>
      <c r="T113" s="1"/>
      <c r="U113" s="1"/>
      <c r="V113" s="1"/>
      <c r="W113" s="1"/>
      <c r="X113" s="1"/>
      <c r="Y113" s="1"/>
      <c r="Z113" s="1"/>
      <c r="AA113" s="1"/>
      <c r="AB113" s="1"/>
      <c r="AC113" s="1"/>
      <c r="AD113" s="1"/>
      <c r="AE113" s="1"/>
    </row>
    <row r="114" spans="1:31" x14ac:dyDescent="0.25">
      <c r="A114" s="1"/>
      <c r="B114" s="132" t="s">
        <v>125</v>
      </c>
      <c r="C114" s="135" t="s">
        <v>7</v>
      </c>
      <c r="D114" s="135" t="s">
        <v>8</v>
      </c>
      <c r="E114" s="135" t="s">
        <v>9</v>
      </c>
      <c r="F114" s="139" t="s">
        <v>10</v>
      </c>
      <c r="G114" s="142" t="s">
        <v>11</v>
      </c>
      <c r="H114" s="143" t="s">
        <v>12</v>
      </c>
      <c r="I114" s="144"/>
      <c r="J114" s="144"/>
      <c r="K114" s="145"/>
      <c r="L114" s="146" t="s">
        <v>13</v>
      </c>
      <c r="M114" s="147"/>
      <c r="N114" s="150" t="s">
        <v>14</v>
      </c>
      <c r="O114" s="138" t="s">
        <v>15</v>
      </c>
      <c r="P114" s="138" t="s">
        <v>16</v>
      </c>
      <c r="Q114" s="135" t="s">
        <v>17</v>
      </c>
      <c r="R114" s="1"/>
      <c r="S114" s="1"/>
      <c r="T114" s="1"/>
      <c r="U114" s="1"/>
      <c r="V114" s="1"/>
      <c r="W114" s="1"/>
      <c r="X114" s="1"/>
      <c r="Y114" s="1"/>
      <c r="Z114" s="1"/>
      <c r="AA114" s="1"/>
      <c r="AB114" s="1"/>
      <c r="AC114" s="1"/>
      <c r="AD114" s="1"/>
      <c r="AE114" s="1"/>
    </row>
    <row r="115" spans="1:31" x14ac:dyDescent="0.25">
      <c r="A115" s="1"/>
      <c r="B115" s="133"/>
      <c r="C115" s="136"/>
      <c r="D115" s="136"/>
      <c r="E115" s="136"/>
      <c r="F115" s="140"/>
      <c r="G115" s="128"/>
      <c r="H115" s="152" t="s">
        <v>18</v>
      </c>
      <c r="I115" s="153"/>
      <c r="J115" s="154" t="s">
        <v>19</v>
      </c>
      <c r="K115" s="153"/>
      <c r="L115" s="148"/>
      <c r="M115" s="149"/>
      <c r="N115" s="149"/>
      <c r="O115" s="136"/>
      <c r="P115" s="136"/>
      <c r="Q115" s="136"/>
      <c r="R115" s="1"/>
      <c r="S115" s="1"/>
      <c r="T115" s="1"/>
      <c r="U115" s="1"/>
      <c r="V115" s="1"/>
      <c r="W115" s="1"/>
      <c r="X115" s="1"/>
      <c r="Y115" s="1"/>
      <c r="Z115" s="1"/>
      <c r="AA115" s="1"/>
      <c r="AB115" s="1"/>
      <c r="AC115" s="1"/>
      <c r="AD115" s="1"/>
      <c r="AE115" s="1"/>
    </row>
    <row r="116" spans="1:31" ht="13" x14ac:dyDescent="0.25">
      <c r="A116" s="1"/>
      <c r="B116" s="134"/>
      <c r="C116" s="137"/>
      <c r="D116" s="137"/>
      <c r="E116" s="137"/>
      <c r="F116" s="141"/>
      <c r="G116" s="128"/>
      <c r="H116" s="9" t="s">
        <v>20</v>
      </c>
      <c r="I116" s="10" t="s">
        <v>21</v>
      </c>
      <c r="J116" s="11" t="s">
        <v>20</v>
      </c>
      <c r="K116" s="10" t="s">
        <v>21</v>
      </c>
      <c r="L116" s="12" t="s">
        <v>22</v>
      </c>
      <c r="M116" s="12" t="s">
        <v>23</v>
      </c>
      <c r="N116" s="151"/>
      <c r="O116" s="137"/>
      <c r="P116" s="137"/>
      <c r="Q116" s="137"/>
      <c r="R116" s="1"/>
      <c r="S116" s="1"/>
      <c r="T116" s="1"/>
      <c r="U116" s="1"/>
      <c r="V116" s="1"/>
      <c r="W116" s="1"/>
      <c r="X116" s="1"/>
      <c r="Y116" s="1"/>
      <c r="Z116" s="1"/>
      <c r="AA116" s="1"/>
      <c r="AB116" s="1"/>
      <c r="AC116" s="1"/>
      <c r="AD116" s="1"/>
      <c r="AE116" s="1"/>
    </row>
    <row r="117" spans="1:31" ht="25" x14ac:dyDescent="0.25">
      <c r="A117" s="1"/>
      <c r="B117" s="127" t="s">
        <v>140</v>
      </c>
      <c r="C117" s="13" t="s">
        <v>41</v>
      </c>
      <c r="D117" s="14" t="s">
        <v>25</v>
      </c>
      <c r="E117" s="15">
        <v>45659</v>
      </c>
      <c r="F117" s="14">
        <v>2</v>
      </c>
      <c r="G117" s="15">
        <v>45816</v>
      </c>
      <c r="H117" s="16"/>
      <c r="I117" s="17"/>
      <c r="J117" s="18"/>
      <c r="K117" s="17"/>
      <c r="L117" s="14">
        <v>0</v>
      </c>
      <c r="M117" s="14">
        <v>0</v>
      </c>
      <c r="N117" s="14" t="s">
        <v>30</v>
      </c>
      <c r="O117" s="13" t="s">
        <v>42</v>
      </c>
      <c r="P117" s="13" t="s">
        <v>43</v>
      </c>
      <c r="Q117" s="19" t="s">
        <v>44</v>
      </c>
      <c r="R117" s="1"/>
      <c r="S117" s="1"/>
      <c r="T117" s="1"/>
      <c r="U117" s="1"/>
      <c r="V117" s="1"/>
      <c r="W117" s="1"/>
      <c r="X117" s="1"/>
      <c r="Y117" s="1"/>
      <c r="Z117" s="1"/>
      <c r="AA117" s="1"/>
      <c r="AB117" s="1"/>
      <c r="AC117" s="1"/>
      <c r="AD117" s="1"/>
      <c r="AE117" s="1"/>
    </row>
    <row r="118" spans="1:31" ht="25" x14ac:dyDescent="0.25">
      <c r="A118" s="1"/>
      <c r="B118" s="128"/>
      <c r="C118" s="90" t="s">
        <v>45</v>
      </c>
      <c r="D118" s="21" t="s">
        <v>25</v>
      </c>
      <c r="E118" s="22">
        <v>45692</v>
      </c>
      <c r="F118" s="21">
        <v>2</v>
      </c>
      <c r="G118" s="22">
        <v>45816</v>
      </c>
      <c r="H118" s="23"/>
      <c r="I118" s="24"/>
      <c r="J118" s="25"/>
      <c r="K118" s="24"/>
      <c r="L118" s="21">
        <v>1</v>
      </c>
      <c r="M118" s="21">
        <v>0</v>
      </c>
      <c r="N118" s="21" t="s">
        <v>26</v>
      </c>
      <c r="O118" s="21" t="s">
        <v>46</v>
      </c>
      <c r="P118" s="21" t="s">
        <v>46</v>
      </c>
      <c r="Q118" s="26" t="s">
        <v>47</v>
      </c>
      <c r="R118" s="1"/>
      <c r="S118" s="1"/>
      <c r="T118" s="1"/>
      <c r="U118" s="1"/>
      <c r="V118" s="1"/>
      <c r="W118" s="1"/>
      <c r="X118" s="1"/>
      <c r="Y118" s="1"/>
      <c r="Z118" s="1"/>
      <c r="AA118" s="1"/>
      <c r="AB118" s="1"/>
      <c r="AC118" s="1"/>
      <c r="AD118" s="1"/>
      <c r="AE118" s="1"/>
    </row>
    <row r="119" spans="1:31" ht="25" x14ac:dyDescent="0.25">
      <c r="A119" s="1"/>
      <c r="B119" s="128"/>
      <c r="C119" s="20" t="s">
        <v>24</v>
      </c>
      <c r="D119" s="21" t="s">
        <v>25</v>
      </c>
      <c r="E119" s="22">
        <v>45692</v>
      </c>
      <c r="F119" s="21">
        <v>2</v>
      </c>
      <c r="G119" s="22">
        <v>45816</v>
      </c>
      <c r="H119" s="23"/>
      <c r="I119" s="24"/>
      <c r="J119" s="25"/>
      <c r="K119" s="24"/>
      <c r="L119" s="21">
        <v>1</v>
      </c>
      <c r="M119" s="21">
        <v>0</v>
      </c>
      <c r="N119" s="21" t="s">
        <v>26</v>
      </c>
      <c r="O119" s="20" t="s">
        <v>27</v>
      </c>
      <c r="P119" s="20" t="s">
        <v>28</v>
      </c>
      <c r="Q119" s="26" t="s">
        <v>29</v>
      </c>
      <c r="R119" s="1"/>
      <c r="S119" s="1"/>
      <c r="T119" s="1"/>
      <c r="U119" s="1"/>
      <c r="V119" s="1"/>
      <c r="W119" s="1"/>
      <c r="X119" s="1"/>
      <c r="Y119" s="1"/>
      <c r="Z119" s="1"/>
      <c r="AA119" s="1"/>
      <c r="AB119" s="1"/>
      <c r="AC119" s="1"/>
      <c r="AD119" s="1"/>
      <c r="AE119" s="1"/>
    </row>
    <row r="120" spans="1:31" ht="25" x14ac:dyDescent="0.25">
      <c r="A120" s="1"/>
      <c r="B120" s="128"/>
      <c r="C120" s="20" t="s">
        <v>31</v>
      </c>
      <c r="D120" s="21" t="s">
        <v>25</v>
      </c>
      <c r="E120" s="21" t="s">
        <v>32</v>
      </c>
      <c r="F120" s="21">
        <v>1</v>
      </c>
      <c r="G120" s="22">
        <v>45879</v>
      </c>
      <c r="H120" s="23"/>
      <c r="I120" s="24"/>
      <c r="J120" s="25"/>
      <c r="K120" s="24"/>
      <c r="L120" s="21">
        <v>0</v>
      </c>
      <c r="M120" s="21" t="s">
        <v>25</v>
      </c>
      <c r="N120" s="21" t="s">
        <v>30</v>
      </c>
      <c r="O120" s="20" t="s">
        <v>33</v>
      </c>
      <c r="P120" s="20" t="s">
        <v>34</v>
      </c>
      <c r="Q120" s="26" t="s">
        <v>35</v>
      </c>
      <c r="R120" s="1"/>
      <c r="S120" s="1"/>
      <c r="T120" s="1"/>
      <c r="U120" s="1"/>
      <c r="V120" s="1"/>
      <c r="W120" s="1"/>
      <c r="X120" s="1"/>
      <c r="Y120" s="1"/>
      <c r="Z120" s="1"/>
      <c r="AA120" s="1"/>
      <c r="AB120" s="1"/>
      <c r="AC120" s="1"/>
      <c r="AD120" s="1"/>
      <c r="AE120" s="1"/>
    </row>
    <row r="121" spans="1:31" ht="25" x14ac:dyDescent="0.25">
      <c r="A121" s="1"/>
      <c r="B121" s="128"/>
      <c r="C121" s="20" t="s">
        <v>36</v>
      </c>
      <c r="D121" s="21" t="s">
        <v>25</v>
      </c>
      <c r="E121" s="22">
        <v>45659</v>
      </c>
      <c r="F121" s="21">
        <v>2</v>
      </c>
      <c r="G121" s="22">
        <v>45816</v>
      </c>
      <c r="H121" s="23"/>
      <c r="I121" s="24"/>
      <c r="J121" s="25"/>
      <c r="K121" s="24"/>
      <c r="L121" s="21">
        <v>1</v>
      </c>
      <c r="M121" s="21">
        <v>0</v>
      </c>
      <c r="N121" s="21" t="s">
        <v>37</v>
      </c>
      <c r="O121" s="20" t="s">
        <v>38</v>
      </c>
      <c r="P121" s="20" t="s">
        <v>39</v>
      </c>
      <c r="Q121" s="26" t="s">
        <v>40</v>
      </c>
      <c r="R121" s="1"/>
      <c r="S121" s="1"/>
      <c r="T121" s="1"/>
      <c r="U121" s="1"/>
      <c r="V121" s="1"/>
      <c r="W121" s="1"/>
      <c r="X121" s="1"/>
      <c r="Y121" s="1"/>
      <c r="Z121" s="1"/>
      <c r="AA121" s="1"/>
      <c r="AB121" s="1"/>
      <c r="AC121" s="1"/>
      <c r="AD121" s="1"/>
      <c r="AE121" s="1"/>
    </row>
    <row r="122" spans="1:31" ht="37.5" x14ac:dyDescent="0.25">
      <c r="A122" s="1"/>
      <c r="B122" s="129"/>
      <c r="C122" s="20" t="s">
        <v>52</v>
      </c>
      <c r="D122" s="21" t="s">
        <v>25</v>
      </c>
      <c r="E122" s="21" t="s">
        <v>32</v>
      </c>
      <c r="F122" s="21">
        <v>1</v>
      </c>
      <c r="G122" s="22">
        <v>45816</v>
      </c>
      <c r="H122" s="23"/>
      <c r="I122" s="24"/>
      <c r="J122" s="25"/>
      <c r="K122" s="24"/>
      <c r="L122" s="21">
        <v>0</v>
      </c>
      <c r="M122" s="21" t="s">
        <v>25</v>
      </c>
      <c r="N122" s="21" t="s">
        <v>30</v>
      </c>
      <c r="O122" s="20" t="s">
        <v>53</v>
      </c>
      <c r="P122" s="20" t="s">
        <v>54</v>
      </c>
      <c r="Q122" s="26" t="s">
        <v>55</v>
      </c>
      <c r="R122" s="1"/>
      <c r="S122" s="1"/>
      <c r="T122" s="1"/>
      <c r="U122" s="1"/>
      <c r="V122" s="1"/>
      <c r="W122" s="1"/>
      <c r="X122" s="1"/>
      <c r="Y122" s="1"/>
      <c r="Z122" s="1"/>
      <c r="AA122" s="1"/>
      <c r="AB122" s="1"/>
      <c r="AC122" s="1"/>
      <c r="AD122" s="1"/>
      <c r="AE122" s="1"/>
    </row>
    <row r="123" spans="1:31" ht="13" x14ac:dyDescent="0.25">
      <c r="A123" s="1"/>
      <c r="B123" s="155" t="s">
        <v>141</v>
      </c>
      <c r="C123" s="156"/>
      <c r="D123" s="156"/>
      <c r="E123" s="156"/>
      <c r="F123" s="156"/>
      <c r="G123" s="156"/>
      <c r="H123" s="156"/>
      <c r="I123" s="156"/>
      <c r="J123" s="156"/>
      <c r="K123" s="156"/>
      <c r="L123" s="156"/>
      <c r="M123" s="156"/>
      <c r="N123" s="156"/>
      <c r="O123" s="156"/>
      <c r="P123" s="156"/>
      <c r="Q123" s="157"/>
      <c r="R123" s="1"/>
      <c r="S123" s="1"/>
      <c r="T123" s="1"/>
      <c r="U123" s="1"/>
      <c r="V123" s="1"/>
      <c r="W123" s="1"/>
      <c r="X123" s="1"/>
      <c r="Y123" s="1"/>
      <c r="Z123" s="1"/>
      <c r="AA123" s="1"/>
      <c r="AB123" s="1"/>
      <c r="AC123" s="1"/>
      <c r="AD123" s="1"/>
      <c r="AE123" s="1"/>
    </row>
    <row r="124" spans="1:31" ht="25" x14ac:dyDescent="0.25">
      <c r="A124" s="1"/>
      <c r="B124" s="130" t="s">
        <v>142</v>
      </c>
      <c r="C124" s="52" t="s">
        <v>56</v>
      </c>
      <c r="D124" s="53" t="s">
        <v>25</v>
      </c>
      <c r="E124" s="54">
        <v>45691</v>
      </c>
      <c r="F124" s="55">
        <v>2</v>
      </c>
      <c r="G124" s="54">
        <v>45879</v>
      </c>
      <c r="H124" s="56"/>
      <c r="I124" s="57"/>
      <c r="J124" s="56"/>
      <c r="K124" s="57"/>
      <c r="L124" s="55">
        <v>1</v>
      </c>
      <c r="M124" s="55">
        <v>0</v>
      </c>
      <c r="N124" s="55" t="s">
        <v>37</v>
      </c>
      <c r="O124" s="52" t="s">
        <v>57</v>
      </c>
      <c r="P124" s="52" t="s">
        <v>39</v>
      </c>
      <c r="Q124" s="58" t="s">
        <v>58</v>
      </c>
      <c r="R124" s="1"/>
      <c r="S124" s="1"/>
      <c r="T124" s="1"/>
      <c r="U124" s="1"/>
      <c r="V124" s="1"/>
      <c r="W124" s="1"/>
      <c r="X124" s="1"/>
      <c r="Y124" s="1"/>
      <c r="Z124" s="1"/>
      <c r="AA124" s="1"/>
      <c r="AB124" s="1"/>
      <c r="AC124" s="1"/>
      <c r="AD124" s="1"/>
      <c r="AE124" s="1"/>
    </row>
    <row r="125" spans="1:31" ht="25" x14ac:dyDescent="0.25">
      <c r="A125" s="1"/>
      <c r="B125" s="128"/>
      <c r="C125" s="43" t="s">
        <v>59</v>
      </c>
      <c r="D125" s="44" t="s">
        <v>25</v>
      </c>
      <c r="E125" s="45">
        <v>45691</v>
      </c>
      <c r="F125" s="46">
        <v>2</v>
      </c>
      <c r="G125" s="45">
        <v>45879</v>
      </c>
      <c r="H125" s="47"/>
      <c r="I125" s="48"/>
      <c r="J125" s="47"/>
      <c r="K125" s="48"/>
      <c r="L125" s="46">
        <v>1</v>
      </c>
      <c r="M125" s="46">
        <v>0</v>
      </c>
      <c r="N125" s="46" t="s">
        <v>37</v>
      </c>
      <c r="O125" s="43" t="s">
        <v>60</v>
      </c>
      <c r="P125" s="43" t="s">
        <v>61</v>
      </c>
      <c r="Q125" s="49" t="s">
        <v>62</v>
      </c>
      <c r="R125" s="1"/>
      <c r="S125" s="1"/>
      <c r="T125" s="1"/>
      <c r="U125" s="1"/>
      <c r="V125" s="1"/>
      <c r="W125" s="1"/>
      <c r="X125" s="1"/>
      <c r="Y125" s="1"/>
      <c r="Z125" s="1"/>
      <c r="AA125" s="1"/>
      <c r="AB125" s="1"/>
      <c r="AC125" s="1"/>
      <c r="AD125" s="1"/>
      <c r="AE125" s="1"/>
    </row>
    <row r="126" spans="1:31" x14ac:dyDescent="0.25">
      <c r="A126" s="1"/>
      <c r="B126" s="128"/>
      <c r="C126" s="36" t="s">
        <v>63</v>
      </c>
      <c r="D126" s="37" t="s">
        <v>25</v>
      </c>
      <c r="E126" s="38">
        <v>45659</v>
      </c>
      <c r="F126" s="39">
        <v>1</v>
      </c>
      <c r="G126" s="38">
        <v>45816</v>
      </c>
      <c r="H126" s="40"/>
      <c r="I126" s="41"/>
      <c r="J126" s="40"/>
      <c r="K126" s="41"/>
      <c r="L126" s="39">
        <v>0</v>
      </c>
      <c r="M126" s="39" t="s">
        <v>25</v>
      </c>
      <c r="N126" s="39" t="s">
        <v>30</v>
      </c>
      <c r="O126" s="36" t="s">
        <v>64</v>
      </c>
      <c r="P126" s="36" t="s">
        <v>65</v>
      </c>
      <c r="Q126" s="42" t="s">
        <v>66</v>
      </c>
      <c r="R126" s="1"/>
      <c r="S126" s="1"/>
      <c r="T126" s="1"/>
      <c r="U126" s="1"/>
      <c r="V126" s="1"/>
      <c r="W126" s="1"/>
      <c r="X126" s="1"/>
      <c r="Y126" s="1"/>
      <c r="Z126" s="1"/>
      <c r="AA126" s="1"/>
      <c r="AB126" s="1"/>
      <c r="AC126" s="1"/>
      <c r="AD126" s="1"/>
      <c r="AE126" s="1"/>
    </row>
    <row r="127" spans="1:31" ht="25" x14ac:dyDescent="0.25">
      <c r="A127" s="1"/>
      <c r="B127" s="128"/>
      <c r="C127" s="43" t="s">
        <v>67</v>
      </c>
      <c r="D127" s="44" t="s">
        <v>25</v>
      </c>
      <c r="E127" s="45">
        <v>45692</v>
      </c>
      <c r="F127" s="46">
        <v>2</v>
      </c>
      <c r="G127" s="45">
        <v>45879</v>
      </c>
      <c r="H127" s="47"/>
      <c r="I127" s="48"/>
      <c r="J127" s="47"/>
      <c r="K127" s="48"/>
      <c r="L127" s="46">
        <v>1</v>
      </c>
      <c r="M127" s="46">
        <v>0</v>
      </c>
      <c r="N127" s="46" t="s">
        <v>26</v>
      </c>
      <c r="O127" s="43" t="s">
        <v>68</v>
      </c>
      <c r="P127" s="43" t="s">
        <v>69</v>
      </c>
      <c r="Q127" s="49" t="s">
        <v>70</v>
      </c>
      <c r="R127" s="1"/>
      <c r="S127" s="1"/>
      <c r="T127" s="1"/>
      <c r="U127" s="1"/>
      <c r="V127" s="1"/>
      <c r="W127" s="1"/>
      <c r="X127" s="1"/>
      <c r="Y127" s="1"/>
      <c r="Z127" s="1"/>
      <c r="AA127" s="1"/>
      <c r="AB127" s="1"/>
      <c r="AC127" s="1"/>
      <c r="AD127" s="1"/>
      <c r="AE127" s="1"/>
    </row>
    <row r="128" spans="1:31" ht="25" x14ac:dyDescent="0.25">
      <c r="A128" s="1"/>
      <c r="B128" s="128"/>
      <c r="C128" s="36" t="s">
        <v>71</v>
      </c>
      <c r="D128" s="37" t="s">
        <v>25</v>
      </c>
      <c r="E128" s="39" t="s">
        <v>32</v>
      </c>
      <c r="F128" s="39">
        <v>2</v>
      </c>
      <c r="G128" s="38">
        <v>45879</v>
      </c>
      <c r="H128" s="40"/>
      <c r="I128" s="41"/>
      <c r="J128" s="40"/>
      <c r="K128" s="41"/>
      <c r="L128" s="39">
        <v>0</v>
      </c>
      <c r="M128" s="39">
        <v>0</v>
      </c>
      <c r="N128" s="39" t="s">
        <v>30</v>
      </c>
      <c r="O128" s="36" t="s">
        <v>72</v>
      </c>
      <c r="P128" s="36" t="s">
        <v>34</v>
      </c>
      <c r="Q128" s="42" t="s">
        <v>73</v>
      </c>
      <c r="R128" s="1"/>
      <c r="S128" s="1"/>
      <c r="T128" s="1"/>
      <c r="U128" s="1"/>
      <c r="V128" s="1"/>
      <c r="W128" s="1"/>
      <c r="X128" s="1"/>
      <c r="Y128" s="1"/>
      <c r="Z128" s="1"/>
      <c r="AA128" s="1"/>
      <c r="AB128" s="1"/>
      <c r="AC128" s="1"/>
      <c r="AD128" s="1"/>
      <c r="AE128" s="1"/>
    </row>
    <row r="129" spans="1:31" ht="25" x14ac:dyDescent="0.25">
      <c r="A129" s="1"/>
      <c r="B129" s="128"/>
      <c r="C129" s="43" t="s">
        <v>74</v>
      </c>
      <c r="D129" s="44" t="s">
        <v>25</v>
      </c>
      <c r="E129" s="46" t="s">
        <v>32</v>
      </c>
      <c r="F129" s="46">
        <v>1</v>
      </c>
      <c r="G129" s="45">
        <v>45879</v>
      </c>
      <c r="H129" s="47"/>
      <c r="I129" s="48"/>
      <c r="J129" s="47"/>
      <c r="K129" s="48"/>
      <c r="L129" s="46">
        <v>0</v>
      </c>
      <c r="M129" s="46" t="s">
        <v>25</v>
      </c>
      <c r="N129" s="46" t="s">
        <v>30</v>
      </c>
      <c r="O129" s="43" t="s">
        <v>75</v>
      </c>
      <c r="P129" s="51" t="s">
        <v>76</v>
      </c>
      <c r="Q129" s="49" t="s">
        <v>77</v>
      </c>
      <c r="R129" s="1"/>
      <c r="S129" s="1"/>
      <c r="T129" s="1"/>
      <c r="U129" s="1"/>
      <c r="V129" s="1"/>
      <c r="W129" s="1"/>
      <c r="X129" s="1"/>
      <c r="Y129" s="1"/>
      <c r="Z129" s="1"/>
      <c r="AA129" s="1"/>
      <c r="AB129" s="1"/>
      <c r="AC129" s="1"/>
      <c r="AD129" s="1"/>
      <c r="AE129" s="1"/>
    </row>
    <row r="130" spans="1:31" ht="25" x14ac:dyDescent="0.25">
      <c r="A130" s="1"/>
      <c r="B130" s="128"/>
      <c r="C130" s="36" t="s">
        <v>78</v>
      </c>
      <c r="D130" s="37" t="s">
        <v>25</v>
      </c>
      <c r="E130" s="39" t="s">
        <v>32</v>
      </c>
      <c r="F130" s="39">
        <v>2</v>
      </c>
      <c r="G130" s="38">
        <v>45816</v>
      </c>
      <c r="H130" s="40"/>
      <c r="I130" s="41"/>
      <c r="J130" s="40"/>
      <c r="K130" s="41"/>
      <c r="L130" s="39">
        <v>0</v>
      </c>
      <c r="M130" s="39">
        <v>0</v>
      </c>
      <c r="N130" s="39" t="s">
        <v>30</v>
      </c>
      <c r="O130" s="50" t="s">
        <v>79</v>
      </c>
      <c r="P130" s="50" t="s">
        <v>80</v>
      </c>
      <c r="Q130" s="42" t="s">
        <v>81</v>
      </c>
      <c r="R130" s="1"/>
      <c r="S130" s="1"/>
      <c r="T130" s="1"/>
      <c r="U130" s="1"/>
      <c r="V130" s="1"/>
      <c r="W130" s="1"/>
      <c r="X130" s="1"/>
      <c r="Y130" s="1"/>
      <c r="Z130" s="1"/>
      <c r="AA130" s="1"/>
      <c r="AB130" s="1"/>
      <c r="AC130" s="1"/>
      <c r="AD130" s="1"/>
      <c r="AE130" s="1"/>
    </row>
    <row r="131" spans="1:31" ht="37.5" x14ac:dyDescent="0.25">
      <c r="A131" s="1"/>
      <c r="B131" s="130" t="s">
        <v>143</v>
      </c>
      <c r="C131" s="29" t="s">
        <v>48</v>
      </c>
      <c r="D131" s="30" t="s">
        <v>25</v>
      </c>
      <c r="E131" s="31">
        <v>45659</v>
      </c>
      <c r="F131" s="32">
        <v>2</v>
      </c>
      <c r="G131" s="31">
        <v>45879</v>
      </c>
      <c r="H131" s="33"/>
      <c r="I131" s="34"/>
      <c r="J131" s="33"/>
      <c r="K131" s="34"/>
      <c r="L131" s="32">
        <v>0</v>
      </c>
      <c r="M131" s="32">
        <v>0</v>
      </c>
      <c r="N131" s="32" t="s">
        <v>30</v>
      </c>
      <c r="O131" s="29" t="s">
        <v>49</v>
      </c>
      <c r="P131" s="29" t="s">
        <v>50</v>
      </c>
      <c r="Q131" s="35" t="s">
        <v>51</v>
      </c>
      <c r="R131" s="1"/>
      <c r="S131" s="1"/>
      <c r="T131" s="1"/>
      <c r="U131" s="1"/>
      <c r="V131" s="1"/>
      <c r="W131" s="1"/>
      <c r="X131" s="1"/>
      <c r="Y131" s="1"/>
      <c r="Z131" s="1"/>
      <c r="AA131" s="1"/>
      <c r="AB131" s="1"/>
      <c r="AC131" s="1"/>
      <c r="AD131" s="1"/>
      <c r="AE131" s="1"/>
    </row>
    <row r="132" spans="1:31" ht="37.5" x14ac:dyDescent="0.25">
      <c r="A132" s="1"/>
      <c r="B132" s="128"/>
      <c r="C132" s="36" t="s">
        <v>82</v>
      </c>
      <c r="D132" s="37" t="s">
        <v>25</v>
      </c>
      <c r="E132" s="38">
        <v>45691</v>
      </c>
      <c r="F132" s="39">
        <v>2</v>
      </c>
      <c r="G132" s="38">
        <v>45816</v>
      </c>
      <c r="H132" s="40"/>
      <c r="I132" s="41"/>
      <c r="J132" s="40"/>
      <c r="K132" s="41"/>
      <c r="L132" s="39">
        <v>2</v>
      </c>
      <c r="M132" s="39">
        <v>1</v>
      </c>
      <c r="N132" s="39" t="s">
        <v>37</v>
      </c>
      <c r="O132" s="36" t="s">
        <v>83</v>
      </c>
      <c r="P132" s="36" t="s">
        <v>84</v>
      </c>
      <c r="Q132" s="42" t="s">
        <v>85</v>
      </c>
      <c r="R132" s="1"/>
      <c r="S132" s="1"/>
      <c r="T132" s="1"/>
      <c r="U132" s="1"/>
      <c r="V132" s="1"/>
      <c r="W132" s="1"/>
      <c r="X132" s="1"/>
      <c r="Y132" s="1"/>
      <c r="Z132" s="1"/>
      <c r="AA132" s="1"/>
      <c r="AB132" s="1"/>
      <c r="AC132" s="1"/>
      <c r="AD132" s="1"/>
      <c r="AE132" s="1"/>
    </row>
    <row r="133" spans="1:31" x14ac:dyDescent="0.25">
      <c r="A133" s="1"/>
      <c r="B133" s="128"/>
      <c r="C133" s="43" t="s">
        <v>86</v>
      </c>
      <c r="D133" s="44" t="s">
        <v>25</v>
      </c>
      <c r="E133" s="45">
        <v>45692</v>
      </c>
      <c r="F133" s="46">
        <v>2</v>
      </c>
      <c r="G133" s="45">
        <v>45816</v>
      </c>
      <c r="H133" s="47"/>
      <c r="I133" s="48"/>
      <c r="J133" s="47"/>
      <c r="K133" s="48"/>
      <c r="L133" s="46">
        <v>1</v>
      </c>
      <c r="M133" s="46">
        <v>0</v>
      </c>
      <c r="N133" s="46" t="s">
        <v>37</v>
      </c>
      <c r="O133" s="43" t="s">
        <v>87</v>
      </c>
      <c r="P133" s="43" t="s">
        <v>88</v>
      </c>
      <c r="Q133" s="49" t="s">
        <v>89</v>
      </c>
      <c r="R133" s="1"/>
      <c r="S133" s="1"/>
      <c r="T133" s="1"/>
      <c r="U133" s="1"/>
      <c r="V133" s="1"/>
      <c r="W133" s="1"/>
      <c r="X133" s="1"/>
      <c r="Y133" s="1"/>
      <c r="Z133" s="1"/>
      <c r="AA133" s="1"/>
      <c r="AB133" s="1"/>
      <c r="AC133" s="1"/>
      <c r="AD133" s="1"/>
      <c r="AE133" s="1"/>
    </row>
    <row r="134" spans="1:31" ht="25" x14ac:dyDescent="0.25">
      <c r="A134" s="1"/>
      <c r="B134" s="128"/>
      <c r="C134" s="36" t="s">
        <v>90</v>
      </c>
      <c r="D134" s="37" t="s">
        <v>25</v>
      </c>
      <c r="E134" s="38">
        <v>45692</v>
      </c>
      <c r="F134" s="39">
        <v>1</v>
      </c>
      <c r="G134" s="38">
        <v>45816</v>
      </c>
      <c r="H134" s="40"/>
      <c r="I134" s="41"/>
      <c r="J134" s="40"/>
      <c r="K134" s="41"/>
      <c r="L134" s="39">
        <v>0</v>
      </c>
      <c r="M134" s="39" t="s">
        <v>25</v>
      </c>
      <c r="N134" s="39" t="s">
        <v>37</v>
      </c>
      <c r="O134" s="36" t="s">
        <v>91</v>
      </c>
      <c r="P134" s="36" t="s">
        <v>92</v>
      </c>
      <c r="Q134" s="42" t="s">
        <v>93</v>
      </c>
      <c r="R134" s="1"/>
      <c r="S134" s="1"/>
      <c r="T134" s="1"/>
      <c r="U134" s="1"/>
      <c r="V134" s="1"/>
      <c r="W134" s="1"/>
      <c r="X134" s="1"/>
      <c r="Y134" s="1"/>
      <c r="Z134" s="1"/>
      <c r="AA134" s="1"/>
      <c r="AB134" s="1"/>
      <c r="AC134" s="1"/>
      <c r="AD134" s="1"/>
      <c r="AE134" s="1"/>
    </row>
    <row r="135" spans="1:31" ht="37.5" x14ac:dyDescent="0.25">
      <c r="A135" s="1"/>
      <c r="B135" s="131"/>
      <c r="C135" s="64" t="s">
        <v>52</v>
      </c>
      <c r="D135" s="65" t="s">
        <v>25</v>
      </c>
      <c r="E135" s="66" t="s">
        <v>32</v>
      </c>
      <c r="F135" s="66">
        <v>2</v>
      </c>
      <c r="G135" s="69">
        <v>45879</v>
      </c>
      <c r="H135" s="67"/>
      <c r="I135" s="68"/>
      <c r="J135" s="67"/>
      <c r="K135" s="68"/>
      <c r="L135" s="66">
        <v>0</v>
      </c>
      <c r="M135" s="66">
        <v>0</v>
      </c>
      <c r="N135" s="66" t="s">
        <v>30</v>
      </c>
      <c r="O135" s="64" t="s">
        <v>53</v>
      </c>
      <c r="P135" s="64" t="s">
        <v>54</v>
      </c>
      <c r="Q135" s="70" t="s">
        <v>55</v>
      </c>
      <c r="R135" s="1"/>
      <c r="S135" s="1"/>
      <c r="T135" s="1"/>
      <c r="U135" s="1"/>
      <c r="V135" s="1"/>
      <c r="W135" s="1"/>
      <c r="X135" s="1"/>
      <c r="Y135" s="1"/>
      <c r="Z135" s="1"/>
      <c r="AA135" s="1"/>
      <c r="AB135" s="1"/>
      <c r="AC135" s="1"/>
      <c r="AD135" s="1"/>
      <c r="AE135" s="1"/>
    </row>
    <row r="136" spans="1:31" ht="37.5" x14ac:dyDescent="0.25">
      <c r="A136" s="1"/>
      <c r="B136" s="130" t="s">
        <v>94</v>
      </c>
      <c r="C136" s="36" t="s">
        <v>95</v>
      </c>
      <c r="D136" s="37" t="s">
        <v>25</v>
      </c>
      <c r="E136" s="39" t="s">
        <v>32</v>
      </c>
      <c r="F136" s="39">
        <v>2</v>
      </c>
      <c r="G136" s="38">
        <v>45816</v>
      </c>
      <c r="H136" s="40"/>
      <c r="I136" s="41"/>
      <c r="J136" s="40"/>
      <c r="K136" s="41"/>
      <c r="L136" s="39">
        <v>0</v>
      </c>
      <c r="M136" s="39">
        <v>0</v>
      </c>
      <c r="N136" s="39" t="s">
        <v>30</v>
      </c>
      <c r="O136" s="36" t="s">
        <v>96</v>
      </c>
      <c r="P136" s="36" t="s">
        <v>97</v>
      </c>
      <c r="Q136" s="42" t="s">
        <v>98</v>
      </c>
      <c r="R136" s="1"/>
      <c r="S136" s="1"/>
      <c r="T136" s="1"/>
      <c r="U136" s="1"/>
      <c r="V136" s="1"/>
      <c r="W136" s="1"/>
      <c r="X136" s="1"/>
      <c r="Y136" s="1"/>
      <c r="Z136" s="1"/>
      <c r="AA136" s="1"/>
      <c r="AB136" s="1"/>
      <c r="AC136" s="1"/>
      <c r="AD136" s="1"/>
      <c r="AE136" s="1"/>
    </row>
    <row r="137" spans="1:31" ht="25" x14ac:dyDescent="0.25">
      <c r="A137" s="1"/>
      <c r="B137" s="128"/>
      <c r="C137" s="43" t="s">
        <v>99</v>
      </c>
      <c r="D137" s="44" t="s">
        <v>25</v>
      </c>
      <c r="E137" s="46" t="s">
        <v>32</v>
      </c>
      <c r="F137" s="46">
        <v>2</v>
      </c>
      <c r="G137" s="45">
        <v>45879</v>
      </c>
      <c r="H137" s="47"/>
      <c r="I137" s="48"/>
      <c r="J137" s="47"/>
      <c r="K137" s="48"/>
      <c r="L137" s="46">
        <v>0</v>
      </c>
      <c r="M137" s="46">
        <v>0</v>
      </c>
      <c r="N137" s="46" t="s">
        <v>30</v>
      </c>
      <c r="O137" s="43" t="s">
        <v>100</v>
      </c>
      <c r="P137" s="43" t="s">
        <v>101</v>
      </c>
      <c r="Q137" s="49" t="s">
        <v>102</v>
      </c>
      <c r="R137" s="1"/>
      <c r="S137" s="1"/>
      <c r="T137" s="1"/>
      <c r="U137" s="1"/>
      <c r="V137" s="1"/>
      <c r="W137" s="1"/>
      <c r="X137" s="1"/>
      <c r="Y137" s="1"/>
      <c r="Z137" s="1"/>
      <c r="AA137" s="1"/>
      <c r="AB137" s="1"/>
      <c r="AC137" s="1"/>
      <c r="AD137" s="1"/>
      <c r="AE137" s="1"/>
    </row>
    <row r="138" spans="1:31" ht="25" x14ac:dyDescent="0.25">
      <c r="A138" s="1"/>
      <c r="B138" s="128"/>
      <c r="C138" s="36" t="s">
        <v>103</v>
      </c>
      <c r="D138" s="37" t="s">
        <v>25</v>
      </c>
      <c r="E138" s="39" t="s">
        <v>32</v>
      </c>
      <c r="F138" s="39">
        <v>1</v>
      </c>
      <c r="G138" s="38">
        <v>45879</v>
      </c>
      <c r="H138" s="40"/>
      <c r="I138" s="41"/>
      <c r="J138" s="40"/>
      <c r="K138" s="41"/>
      <c r="L138" s="39">
        <v>0</v>
      </c>
      <c r="M138" s="39" t="s">
        <v>25</v>
      </c>
      <c r="N138" s="39" t="s">
        <v>30</v>
      </c>
      <c r="O138" s="36" t="s">
        <v>104</v>
      </c>
      <c r="P138" s="36" t="s">
        <v>105</v>
      </c>
      <c r="Q138" s="42" t="s">
        <v>106</v>
      </c>
      <c r="R138" s="1"/>
      <c r="S138" s="1"/>
      <c r="T138" s="1"/>
      <c r="U138" s="1"/>
      <c r="V138" s="1"/>
      <c r="W138" s="1"/>
      <c r="X138" s="1"/>
      <c r="Y138" s="1"/>
      <c r="Z138" s="1"/>
      <c r="AA138" s="1"/>
      <c r="AB138" s="1"/>
      <c r="AC138" s="1"/>
      <c r="AD138" s="1"/>
      <c r="AE138" s="1"/>
    </row>
    <row r="139" spans="1:31" x14ac:dyDescent="0.25">
      <c r="A139" s="1"/>
      <c r="B139" s="128"/>
      <c r="C139" s="43" t="s">
        <v>107</v>
      </c>
      <c r="D139" s="44" t="s">
        <v>25</v>
      </c>
      <c r="E139" s="46" t="s">
        <v>32</v>
      </c>
      <c r="F139" s="46">
        <v>2</v>
      </c>
      <c r="G139" s="45">
        <v>45879</v>
      </c>
      <c r="H139" s="47"/>
      <c r="I139" s="48"/>
      <c r="J139" s="47"/>
      <c r="K139" s="48"/>
      <c r="L139" s="46">
        <v>0</v>
      </c>
      <c r="M139" s="46">
        <v>0</v>
      </c>
      <c r="N139" s="46" t="s">
        <v>30</v>
      </c>
      <c r="O139" s="43" t="s">
        <v>108</v>
      </c>
      <c r="P139" s="43" t="s">
        <v>109</v>
      </c>
      <c r="Q139" s="49" t="s">
        <v>110</v>
      </c>
      <c r="R139" s="1"/>
      <c r="S139" s="1"/>
      <c r="T139" s="1"/>
      <c r="U139" s="1"/>
      <c r="V139" s="1"/>
      <c r="W139" s="1"/>
      <c r="X139" s="1"/>
      <c r="Y139" s="1"/>
      <c r="Z139" s="1"/>
      <c r="AA139" s="1"/>
      <c r="AB139" s="1"/>
      <c r="AC139" s="1"/>
      <c r="AD139" s="1"/>
      <c r="AE139" s="1"/>
    </row>
    <row r="140" spans="1:31" x14ac:dyDescent="0.25">
      <c r="A140" s="1"/>
      <c r="B140" s="128"/>
      <c r="C140" s="36" t="s">
        <v>111</v>
      </c>
      <c r="D140" s="37" t="s">
        <v>25</v>
      </c>
      <c r="E140" s="39" t="s">
        <v>32</v>
      </c>
      <c r="F140" s="39">
        <v>2</v>
      </c>
      <c r="G140" s="38">
        <v>45879</v>
      </c>
      <c r="H140" s="40"/>
      <c r="I140" s="41"/>
      <c r="J140" s="40"/>
      <c r="K140" s="41"/>
      <c r="L140" s="39">
        <v>0</v>
      </c>
      <c r="M140" s="39">
        <v>0</v>
      </c>
      <c r="N140" s="39" t="s">
        <v>30</v>
      </c>
      <c r="O140" s="36" t="s">
        <v>112</v>
      </c>
      <c r="P140" s="37" t="s">
        <v>25</v>
      </c>
      <c r="Q140" s="42" t="s">
        <v>113</v>
      </c>
      <c r="R140" s="1"/>
      <c r="S140" s="1"/>
      <c r="T140" s="1"/>
      <c r="U140" s="1"/>
      <c r="V140" s="1"/>
      <c r="W140" s="1"/>
      <c r="X140" s="1"/>
      <c r="Y140" s="1"/>
      <c r="Z140" s="1"/>
      <c r="AA140" s="1"/>
      <c r="AB140" s="1"/>
      <c r="AC140" s="1"/>
      <c r="AD140" s="1"/>
      <c r="AE140" s="1"/>
    </row>
    <row r="141" spans="1:31" x14ac:dyDescent="0.25">
      <c r="A141" s="1"/>
      <c r="B141" s="128"/>
      <c r="C141" s="43" t="s">
        <v>114</v>
      </c>
      <c r="D141" s="44" t="s">
        <v>25</v>
      </c>
      <c r="E141" s="46" t="s">
        <v>32</v>
      </c>
      <c r="F141" s="46">
        <v>2</v>
      </c>
      <c r="G141" s="45">
        <v>45879</v>
      </c>
      <c r="H141" s="47"/>
      <c r="I141" s="48"/>
      <c r="J141" s="47"/>
      <c r="K141" s="48"/>
      <c r="L141" s="46">
        <v>0</v>
      </c>
      <c r="M141" s="46">
        <v>0</v>
      </c>
      <c r="N141" s="46" t="s">
        <v>30</v>
      </c>
      <c r="O141" s="43" t="s">
        <v>115</v>
      </c>
      <c r="P141" s="44" t="s">
        <v>25</v>
      </c>
      <c r="Q141" s="49" t="s">
        <v>113</v>
      </c>
      <c r="R141" s="1"/>
      <c r="S141" s="1"/>
      <c r="T141" s="1"/>
      <c r="U141" s="1"/>
      <c r="V141" s="1"/>
      <c r="W141" s="1"/>
      <c r="X141" s="1"/>
      <c r="Y141" s="1"/>
      <c r="Z141" s="1"/>
      <c r="AA141" s="1"/>
      <c r="AB141" s="1"/>
      <c r="AC141" s="1"/>
      <c r="AD141" s="1"/>
      <c r="AE141" s="1"/>
    </row>
    <row r="142" spans="1:31" x14ac:dyDescent="0.25">
      <c r="A142" s="1"/>
      <c r="B142" s="128"/>
      <c r="C142" s="36" t="s">
        <v>116</v>
      </c>
      <c r="D142" s="37" t="s">
        <v>25</v>
      </c>
      <c r="E142" s="39" t="s">
        <v>32</v>
      </c>
      <c r="F142" s="39">
        <v>1</v>
      </c>
      <c r="G142" s="38">
        <v>45816</v>
      </c>
      <c r="H142" s="40"/>
      <c r="I142" s="41"/>
      <c r="J142" s="40"/>
      <c r="K142" s="41"/>
      <c r="L142" s="39">
        <v>0</v>
      </c>
      <c r="M142" s="39" t="s">
        <v>25</v>
      </c>
      <c r="N142" s="39" t="s">
        <v>30</v>
      </c>
      <c r="O142" s="36" t="s">
        <v>117</v>
      </c>
      <c r="P142" s="36" t="s">
        <v>118</v>
      </c>
      <c r="Q142" s="42" t="s">
        <v>119</v>
      </c>
      <c r="R142" s="1"/>
      <c r="S142" s="1"/>
      <c r="T142" s="1"/>
      <c r="U142" s="1"/>
      <c r="V142" s="1"/>
      <c r="W142" s="1"/>
      <c r="X142" s="1"/>
      <c r="Y142" s="1"/>
      <c r="Z142" s="1"/>
      <c r="AA142" s="1"/>
      <c r="AB142" s="1"/>
      <c r="AC142" s="1"/>
      <c r="AD142" s="1"/>
      <c r="AE142" s="1"/>
    </row>
    <row r="143" spans="1:31" ht="25" x14ac:dyDescent="0.25">
      <c r="A143" s="1"/>
      <c r="B143" s="128"/>
      <c r="C143" s="43" t="s">
        <v>34</v>
      </c>
      <c r="D143" s="44" t="s">
        <v>25</v>
      </c>
      <c r="E143" s="46" t="s">
        <v>32</v>
      </c>
      <c r="F143" s="46">
        <v>2</v>
      </c>
      <c r="G143" s="45">
        <v>45879</v>
      </c>
      <c r="H143" s="47"/>
      <c r="I143" s="46"/>
      <c r="J143" s="47"/>
      <c r="K143" s="48"/>
      <c r="L143" s="46">
        <v>0</v>
      </c>
      <c r="M143" s="46">
        <v>0</v>
      </c>
      <c r="N143" s="46" t="s">
        <v>30</v>
      </c>
      <c r="O143" s="43" t="s">
        <v>71</v>
      </c>
      <c r="P143" s="43" t="s">
        <v>72</v>
      </c>
      <c r="Q143" s="49" t="s">
        <v>120</v>
      </c>
      <c r="R143" s="1"/>
      <c r="S143" s="1"/>
      <c r="T143" s="1"/>
      <c r="U143" s="1"/>
      <c r="V143" s="1"/>
      <c r="W143" s="1"/>
      <c r="X143" s="1"/>
      <c r="Y143" s="1"/>
      <c r="Z143" s="1"/>
      <c r="AA143" s="1"/>
      <c r="AB143" s="1"/>
      <c r="AC143" s="1"/>
      <c r="AD143" s="1"/>
      <c r="AE143" s="1"/>
    </row>
    <row r="144" spans="1:31" x14ac:dyDescent="0.25">
      <c r="A144" s="1"/>
      <c r="B144" s="131"/>
      <c r="C144" s="59" t="s">
        <v>121</v>
      </c>
      <c r="D144" s="60" t="s">
        <v>25</v>
      </c>
      <c r="E144" s="61" t="s">
        <v>32</v>
      </c>
      <c r="F144" s="61">
        <v>2</v>
      </c>
      <c r="G144" s="61" t="s">
        <v>25</v>
      </c>
      <c r="H144" s="62"/>
      <c r="I144" s="61"/>
      <c r="J144" s="62"/>
      <c r="K144" s="63"/>
      <c r="L144" s="61">
        <v>0</v>
      </c>
      <c r="M144" s="61">
        <v>0</v>
      </c>
      <c r="N144" s="61" t="s">
        <v>30</v>
      </c>
      <c r="O144" s="60" t="s">
        <v>25</v>
      </c>
      <c r="P144" s="60" t="s">
        <v>25</v>
      </c>
      <c r="Q144" s="71" t="s">
        <v>122</v>
      </c>
      <c r="R144" s="1"/>
      <c r="S144" s="1"/>
      <c r="T144" s="1"/>
      <c r="U144" s="1"/>
      <c r="V144" s="1"/>
      <c r="W144" s="1"/>
      <c r="X144" s="1"/>
      <c r="Y144" s="1"/>
      <c r="Z144" s="1"/>
      <c r="AA144" s="1"/>
      <c r="AB144" s="1"/>
      <c r="AC144" s="1"/>
      <c r="AD144" s="1"/>
      <c r="AE144" s="1"/>
    </row>
    <row r="145" spans="1:31" ht="13" x14ac:dyDescent="0.25">
      <c r="A145" s="1"/>
      <c r="B145" s="155" t="s">
        <v>141</v>
      </c>
      <c r="C145" s="156"/>
      <c r="D145" s="156"/>
      <c r="E145" s="156"/>
      <c r="F145" s="156"/>
      <c r="G145" s="156"/>
      <c r="H145" s="156"/>
      <c r="I145" s="156"/>
      <c r="J145" s="156"/>
      <c r="K145" s="156"/>
      <c r="L145" s="156"/>
      <c r="M145" s="156"/>
      <c r="N145" s="156"/>
      <c r="O145" s="156"/>
      <c r="P145" s="156"/>
      <c r="Q145" s="157"/>
      <c r="R145" s="1"/>
      <c r="S145" s="1"/>
      <c r="T145" s="1"/>
      <c r="U145" s="1"/>
      <c r="V145" s="1"/>
      <c r="W145" s="1"/>
      <c r="X145" s="1"/>
      <c r="Y145" s="1"/>
      <c r="Z145" s="1"/>
      <c r="AA145" s="1"/>
      <c r="AB145" s="1"/>
      <c r="AC145" s="1"/>
      <c r="AD145" s="1"/>
      <c r="AE145" s="1"/>
    </row>
    <row r="146" spans="1:31" x14ac:dyDescent="0.25">
      <c r="A146" s="1"/>
      <c r="B146" s="1"/>
      <c r="C146" s="5"/>
      <c r="D146" s="5"/>
      <c r="E146" s="1"/>
      <c r="F146" s="1"/>
      <c r="G146" s="1"/>
      <c r="H146" s="1"/>
      <c r="I146" s="1"/>
      <c r="J146" s="1"/>
      <c r="K146" s="1"/>
      <c r="L146" s="1"/>
      <c r="M146" s="1"/>
      <c r="N146" s="1"/>
      <c r="O146" s="5"/>
      <c r="P146" s="5"/>
      <c r="Q146" s="5"/>
      <c r="R146" s="1"/>
      <c r="S146" s="1"/>
      <c r="T146" s="1"/>
      <c r="U146" s="1"/>
      <c r="V146" s="1"/>
      <c r="W146" s="1"/>
      <c r="X146" s="1"/>
      <c r="Y146" s="1"/>
      <c r="Z146" s="1"/>
      <c r="AA146" s="1"/>
      <c r="AB146" s="1"/>
      <c r="AC146" s="1"/>
      <c r="AD146" s="1"/>
      <c r="AE146" s="1"/>
    </row>
    <row r="147" spans="1:31" x14ac:dyDescent="0.25">
      <c r="A147" s="1"/>
      <c r="B147" s="1"/>
      <c r="C147" s="5"/>
      <c r="D147" s="5"/>
      <c r="E147" s="1"/>
      <c r="F147" s="1"/>
      <c r="G147" s="1"/>
      <c r="H147" s="1"/>
      <c r="I147" s="1"/>
      <c r="J147" s="1"/>
      <c r="K147" s="1"/>
      <c r="L147" s="1"/>
      <c r="M147" s="1"/>
      <c r="N147" s="1"/>
      <c r="O147" s="5"/>
      <c r="P147" s="5"/>
      <c r="Q147" s="5"/>
      <c r="R147" s="1"/>
      <c r="S147" s="1"/>
      <c r="T147" s="1"/>
      <c r="U147" s="1"/>
      <c r="V147" s="1"/>
      <c r="W147" s="1"/>
      <c r="X147" s="1"/>
      <c r="Y147" s="1"/>
      <c r="Z147" s="1"/>
      <c r="AA147" s="1"/>
      <c r="AB147" s="1"/>
      <c r="AC147" s="1"/>
      <c r="AD147" s="1"/>
      <c r="AE147" s="1"/>
    </row>
    <row r="148" spans="1:31" x14ac:dyDescent="0.25">
      <c r="A148" s="1"/>
      <c r="B148" s="132" t="s">
        <v>126</v>
      </c>
      <c r="C148" s="135" t="s">
        <v>7</v>
      </c>
      <c r="D148" s="135" t="s">
        <v>8</v>
      </c>
      <c r="E148" s="135" t="s">
        <v>9</v>
      </c>
      <c r="F148" s="139" t="s">
        <v>10</v>
      </c>
      <c r="G148" s="142" t="s">
        <v>11</v>
      </c>
      <c r="H148" s="143" t="s">
        <v>12</v>
      </c>
      <c r="I148" s="144"/>
      <c r="J148" s="144"/>
      <c r="K148" s="145"/>
      <c r="L148" s="146" t="s">
        <v>13</v>
      </c>
      <c r="M148" s="147"/>
      <c r="N148" s="150" t="s">
        <v>14</v>
      </c>
      <c r="O148" s="138" t="s">
        <v>15</v>
      </c>
      <c r="P148" s="138" t="s">
        <v>16</v>
      </c>
      <c r="Q148" s="135" t="s">
        <v>17</v>
      </c>
      <c r="R148" s="1"/>
      <c r="S148" s="1"/>
      <c r="T148" s="1"/>
      <c r="U148" s="1"/>
      <c r="V148" s="1"/>
      <c r="W148" s="1"/>
      <c r="X148" s="1"/>
      <c r="Y148" s="1"/>
      <c r="Z148" s="1"/>
      <c r="AA148" s="1"/>
      <c r="AB148" s="1"/>
      <c r="AC148" s="1"/>
      <c r="AD148" s="1"/>
      <c r="AE148" s="1"/>
    </row>
    <row r="149" spans="1:31" x14ac:dyDescent="0.25">
      <c r="A149" s="1"/>
      <c r="B149" s="133"/>
      <c r="C149" s="136"/>
      <c r="D149" s="136"/>
      <c r="E149" s="136"/>
      <c r="F149" s="140"/>
      <c r="G149" s="128"/>
      <c r="H149" s="152" t="s">
        <v>18</v>
      </c>
      <c r="I149" s="153"/>
      <c r="J149" s="154" t="s">
        <v>19</v>
      </c>
      <c r="K149" s="153"/>
      <c r="L149" s="148"/>
      <c r="M149" s="149"/>
      <c r="N149" s="149"/>
      <c r="O149" s="136"/>
      <c r="P149" s="136"/>
      <c r="Q149" s="136"/>
      <c r="R149" s="1"/>
      <c r="S149" s="1"/>
      <c r="T149" s="1"/>
      <c r="U149" s="1"/>
      <c r="V149" s="1"/>
      <c r="W149" s="1"/>
      <c r="X149" s="1"/>
      <c r="Y149" s="1"/>
      <c r="Z149" s="1"/>
      <c r="AA149" s="1"/>
      <c r="AB149" s="1"/>
      <c r="AC149" s="1"/>
      <c r="AD149" s="1"/>
      <c r="AE149" s="1"/>
    </row>
    <row r="150" spans="1:31" ht="13" x14ac:dyDescent="0.25">
      <c r="A150" s="1"/>
      <c r="B150" s="134"/>
      <c r="C150" s="137"/>
      <c r="D150" s="137"/>
      <c r="E150" s="137"/>
      <c r="F150" s="141"/>
      <c r="G150" s="128"/>
      <c r="H150" s="9" t="s">
        <v>20</v>
      </c>
      <c r="I150" s="10" t="s">
        <v>21</v>
      </c>
      <c r="J150" s="11" t="s">
        <v>20</v>
      </c>
      <c r="K150" s="10" t="s">
        <v>21</v>
      </c>
      <c r="L150" s="12" t="s">
        <v>22</v>
      </c>
      <c r="M150" s="12" t="s">
        <v>23</v>
      </c>
      <c r="N150" s="151"/>
      <c r="O150" s="137"/>
      <c r="P150" s="137"/>
      <c r="Q150" s="137"/>
      <c r="R150" s="1"/>
      <c r="S150" s="1"/>
      <c r="T150" s="1"/>
      <c r="U150" s="1"/>
      <c r="V150" s="1"/>
      <c r="W150" s="1"/>
      <c r="X150" s="1"/>
      <c r="Y150" s="1"/>
      <c r="Z150" s="1"/>
      <c r="AA150" s="1"/>
      <c r="AB150" s="1"/>
      <c r="AC150" s="1"/>
      <c r="AD150" s="1"/>
      <c r="AE150" s="1"/>
    </row>
    <row r="151" spans="1:31" ht="25" x14ac:dyDescent="0.25">
      <c r="A151" s="1"/>
      <c r="B151" s="127" t="s">
        <v>140</v>
      </c>
      <c r="C151" s="13" t="s">
        <v>41</v>
      </c>
      <c r="D151" s="14" t="s">
        <v>25</v>
      </c>
      <c r="E151" s="15">
        <v>45659</v>
      </c>
      <c r="F151" s="14">
        <v>2</v>
      </c>
      <c r="G151" s="15">
        <v>45816</v>
      </c>
      <c r="H151" s="16"/>
      <c r="I151" s="17"/>
      <c r="J151" s="18"/>
      <c r="K151" s="17"/>
      <c r="L151" s="14">
        <v>0</v>
      </c>
      <c r="M151" s="14">
        <v>0</v>
      </c>
      <c r="N151" s="14" t="s">
        <v>30</v>
      </c>
      <c r="O151" s="13" t="s">
        <v>42</v>
      </c>
      <c r="P151" s="13" t="s">
        <v>43</v>
      </c>
      <c r="Q151" s="19" t="s">
        <v>44</v>
      </c>
      <c r="R151" s="1"/>
      <c r="S151" s="1"/>
      <c r="T151" s="1"/>
      <c r="U151" s="1"/>
      <c r="V151" s="1"/>
      <c r="W151" s="1"/>
      <c r="X151" s="1"/>
      <c r="Y151" s="1"/>
      <c r="Z151" s="1"/>
      <c r="AA151" s="1"/>
      <c r="AB151" s="1"/>
      <c r="AC151" s="1"/>
      <c r="AD151" s="1"/>
      <c r="AE151" s="1"/>
    </row>
    <row r="152" spans="1:31" ht="25" x14ac:dyDescent="0.25">
      <c r="A152" s="1"/>
      <c r="B152" s="128"/>
      <c r="C152" s="90" t="s">
        <v>45</v>
      </c>
      <c r="D152" s="21" t="s">
        <v>25</v>
      </c>
      <c r="E152" s="22">
        <v>45692</v>
      </c>
      <c r="F152" s="21">
        <v>2</v>
      </c>
      <c r="G152" s="22">
        <v>45816</v>
      </c>
      <c r="H152" s="23"/>
      <c r="I152" s="24"/>
      <c r="J152" s="25"/>
      <c r="K152" s="24"/>
      <c r="L152" s="21">
        <v>1</v>
      </c>
      <c r="M152" s="21">
        <v>0</v>
      </c>
      <c r="N152" s="21" t="s">
        <v>26</v>
      </c>
      <c r="O152" s="21" t="s">
        <v>46</v>
      </c>
      <c r="P152" s="21" t="s">
        <v>46</v>
      </c>
      <c r="Q152" s="26" t="s">
        <v>47</v>
      </c>
      <c r="R152" s="1"/>
      <c r="S152" s="1"/>
      <c r="T152" s="1"/>
      <c r="U152" s="1"/>
      <c r="V152" s="1"/>
      <c r="W152" s="1"/>
      <c r="X152" s="1"/>
      <c r="Y152" s="1"/>
      <c r="Z152" s="1"/>
      <c r="AA152" s="1"/>
      <c r="AB152" s="1"/>
      <c r="AC152" s="1"/>
      <c r="AD152" s="1"/>
      <c r="AE152" s="1"/>
    </row>
    <row r="153" spans="1:31" ht="25" x14ac:dyDescent="0.25">
      <c r="A153" s="1"/>
      <c r="B153" s="128"/>
      <c r="C153" s="20" t="s">
        <v>24</v>
      </c>
      <c r="D153" s="21" t="s">
        <v>25</v>
      </c>
      <c r="E153" s="22">
        <v>45692</v>
      </c>
      <c r="F153" s="21">
        <v>2</v>
      </c>
      <c r="G153" s="22">
        <v>45816</v>
      </c>
      <c r="H153" s="23"/>
      <c r="I153" s="24"/>
      <c r="J153" s="25"/>
      <c r="K153" s="24"/>
      <c r="L153" s="21">
        <v>1</v>
      </c>
      <c r="M153" s="21">
        <v>0</v>
      </c>
      <c r="N153" s="21" t="s">
        <v>26</v>
      </c>
      <c r="O153" s="20" t="s">
        <v>27</v>
      </c>
      <c r="P153" s="20" t="s">
        <v>28</v>
      </c>
      <c r="Q153" s="26" t="s">
        <v>29</v>
      </c>
      <c r="R153" s="1"/>
      <c r="S153" s="1"/>
      <c r="T153" s="1"/>
      <c r="U153" s="1"/>
      <c r="V153" s="1"/>
      <c r="W153" s="1"/>
      <c r="X153" s="1"/>
      <c r="Y153" s="1"/>
      <c r="Z153" s="1"/>
      <c r="AA153" s="1"/>
      <c r="AB153" s="1"/>
      <c r="AC153" s="1"/>
      <c r="AD153" s="1"/>
      <c r="AE153" s="1"/>
    </row>
    <row r="154" spans="1:31" ht="25" x14ac:dyDescent="0.25">
      <c r="A154" s="1"/>
      <c r="B154" s="128"/>
      <c r="C154" s="20" t="s">
        <v>31</v>
      </c>
      <c r="D154" s="21" t="s">
        <v>25</v>
      </c>
      <c r="E154" s="21" t="s">
        <v>32</v>
      </c>
      <c r="F154" s="21">
        <v>1</v>
      </c>
      <c r="G154" s="22">
        <v>45879</v>
      </c>
      <c r="H154" s="23"/>
      <c r="I154" s="24"/>
      <c r="J154" s="25"/>
      <c r="K154" s="24"/>
      <c r="L154" s="21">
        <v>0</v>
      </c>
      <c r="M154" s="21" t="s">
        <v>25</v>
      </c>
      <c r="N154" s="21" t="s">
        <v>30</v>
      </c>
      <c r="O154" s="20" t="s">
        <v>33</v>
      </c>
      <c r="P154" s="20" t="s">
        <v>34</v>
      </c>
      <c r="Q154" s="26" t="s">
        <v>35</v>
      </c>
      <c r="R154" s="1"/>
      <c r="S154" s="1"/>
      <c r="T154" s="1"/>
      <c r="U154" s="1"/>
      <c r="V154" s="1"/>
      <c r="W154" s="1"/>
      <c r="X154" s="1"/>
      <c r="Y154" s="1"/>
      <c r="Z154" s="1"/>
      <c r="AA154" s="1"/>
      <c r="AB154" s="1"/>
      <c r="AC154" s="1"/>
      <c r="AD154" s="1"/>
      <c r="AE154" s="1"/>
    </row>
    <row r="155" spans="1:31" ht="25" x14ac:dyDescent="0.25">
      <c r="A155" s="1"/>
      <c r="B155" s="128"/>
      <c r="C155" s="20" t="s">
        <v>36</v>
      </c>
      <c r="D155" s="21" t="s">
        <v>25</v>
      </c>
      <c r="E155" s="22">
        <v>45659</v>
      </c>
      <c r="F155" s="21">
        <v>2</v>
      </c>
      <c r="G155" s="22">
        <v>45816</v>
      </c>
      <c r="H155" s="23"/>
      <c r="I155" s="24"/>
      <c r="J155" s="25"/>
      <c r="K155" s="24"/>
      <c r="L155" s="21">
        <v>1</v>
      </c>
      <c r="M155" s="21">
        <v>0</v>
      </c>
      <c r="N155" s="21" t="s">
        <v>37</v>
      </c>
      <c r="O155" s="20" t="s">
        <v>38</v>
      </c>
      <c r="P155" s="20" t="s">
        <v>39</v>
      </c>
      <c r="Q155" s="26" t="s">
        <v>40</v>
      </c>
      <c r="R155" s="1"/>
      <c r="S155" s="1"/>
      <c r="T155" s="1"/>
      <c r="U155" s="1"/>
      <c r="V155" s="1"/>
      <c r="W155" s="1"/>
      <c r="X155" s="1"/>
      <c r="Y155" s="1"/>
      <c r="Z155" s="1"/>
      <c r="AA155" s="1"/>
      <c r="AB155" s="1"/>
      <c r="AC155" s="1"/>
      <c r="AD155" s="1"/>
      <c r="AE155" s="1"/>
    </row>
    <row r="156" spans="1:31" ht="37.5" x14ac:dyDescent="0.25">
      <c r="A156" s="1"/>
      <c r="B156" s="129"/>
      <c r="C156" s="20" t="s">
        <v>52</v>
      </c>
      <c r="D156" s="21" t="s">
        <v>25</v>
      </c>
      <c r="E156" s="21" t="s">
        <v>32</v>
      </c>
      <c r="F156" s="21">
        <v>1</v>
      </c>
      <c r="G156" s="22">
        <v>45816</v>
      </c>
      <c r="H156" s="23"/>
      <c r="I156" s="24"/>
      <c r="J156" s="25"/>
      <c r="K156" s="24"/>
      <c r="L156" s="21">
        <v>0</v>
      </c>
      <c r="M156" s="21" t="s">
        <v>25</v>
      </c>
      <c r="N156" s="21" t="s">
        <v>30</v>
      </c>
      <c r="O156" s="20" t="s">
        <v>53</v>
      </c>
      <c r="P156" s="20" t="s">
        <v>54</v>
      </c>
      <c r="Q156" s="26" t="s">
        <v>55</v>
      </c>
      <c r="R156" s="1"/>
      <c r="S156" s="1"/>
      <c r="T156" s="1"/>
      <c r="U156" s="1"/>
      <c r="V156" s="1"/>
      <c r="W156" s="1"/>
      <c r="X156" s="1"/>
      <c r="Y156" s="1"/>
      <c r="Z156" s="1"/>
      <c r="AA156" s="1"/>
      <c r="AB156" s="1"/>
      <c r="AC156" s="1"/>
      <c r="AD156" s="1"/>
      <c r="AE156" s="1"/>
    </row>
    <row r="157" spans="1:31" ht="13" x14ac:dyDescent="0.25">
      <c r="A157" s="1"/>
      <c r="B157" s="155" t="s">
        <v>141</v>
      </c>
      <c r="C157" s="156"/>
      <c r="D157" s="156"/>
      <c r="E157" s="156"/>
      <c r="F157" s="156"/>
      <c r="G157" s="156"/>
      <c r="H157" s="156"/>
      <c r="I157" s="156"/>
      <c r="J157" s="156"/>
      <c r="K157" s="156"/>
      <c r="L157" s="156"/>
      <c r="M157" s="156"/>
      <c r="N157" s="156"/>
      <c r="O157" s="156"/>
      <c r="P157" s="156"/>
      <c r="Q157" s="157"/>
      <c r="R157" s="1"/>
      <c r="S157" s="1"/>
      <c r="T157" s="1"/>
      <c r="U157" s="1"/>
      <c r="V157" s="1"/>
      <c r="W157" s="1"/>
      <c r="X157" s="1"/>
      <c r="Y157" s="1"/>
      <c r="Z157" s="1"/>
      <c r="AA157" s="1"/>
      <c r="AB157" s="1"/>
      <c r="AC157" s="1"/>
      <c r="AD157" s="1"/>
      <c r="AE157" s="1"/>
    </row>
    <row r="158" spans="1:31" ht="25" x14ac:dyDescent="0.25">
      <c r="A158" s="1"/>
      <c r="B158" s="130" t="s">
        <v>142</v>
      </c>
      <c r="C158" s="52" t="s">
        <v>56</v>
      </c>
      <c r="D158" s="53" t="s">
        <v>25</v>
      </c>
      <c r="E158" s="54">
        <v>45691</v>
      </c>
      <c r="F158" s="55">
        <v>2</v>
      </c>
      <c r="G158" s="54">
        <v>45879</v>
      </c>
      <c r="H158" s="56"/>
      <c r="I158" s="57"/>
      <c r="J158" s="56"/>
      <c r="K158" s="57"/>
      <c r="L158" s="55">
        <v>1</v>
      </c>
      <c r="M158" s="55">
        <v>0</v>
      </c>
      <c r="N158" s="55" t="s">
        <v>37</v>
      </c>
      <c r="O158" s="52" t="s">
        <v>57</v>
      </c>
      <c r="P158" s="52" t="s">
        <v>39</v>
      </c>
      <c r="Q158" s="58" t="s">
        <v>58</v>
      </c>
      <c r="R158" s="1"/>
      <c r="S158" s="1"/>
      <c r="T158" s="1"/>
      <c r="U158" s="1"/>
      <c r="V158" s="1"/>
      <c r="W158" s="1"/>
      <c r="X158" s="1"/>
      <c r="Y158" s="1"/>
      <c r="Z158" s="1"/>
      <c r="AA158" s="1"/>
      <c r="AB158" s="1"/>
      <c r="AC158" s="1"/>
      <c r="AD158" s="1"/>
      <c r="AE158" s="1"/>
    </row>
    <row r="159" spans="1:31" ht="25" x14ac:dyDescent="0.25">
      <c r="A159" s="1"/>
      <c r="B159" s="128"/>
      <c r="C159" s="43" t="s">
        <v>59</v>
      </c>
      <c r="D159" s="44" t="s">
        <v>25</v>
      </c>
      <c r="E159" s="45">
        <v>45691</v>
      </c>
      <c r="F159" s="46">
        <v>2</v>
      </c>
      <c r="G159" s="45">
        <v>45879</v>
      </c>
      <c r="H159" s="47"/>
      <c r="I159" s="48"/>
      <c r="J159" s="47"/>
      <c r="K159" s="48"/>
      <c r="L159" s="46">
        <v>1</v>
      </c>
      <c r="M159" s="46">
        <v>0</v>
      </c>
      <c r="N159" s="46" t="s">
        <v>37</v>
      </c>
      <c r="O159" s="43" t="s">
        <v>60</v>
      </c>
      <c r="P159" s="43" t="s">
        <v>61</v>
      </c>
      <c r="Q159" s="49" t="s">
        <v>62</v>
      </c>
      <c r="R159" s="1"/>
      <c r="S159" s="1"/>
      <c r="T159" s="1"/>
      <c r="U159" s="1"/>
      <c r="V159" s="1"/>
      <c r="W159" s="1"/>
      <c r="X159" s="1"/>
      <c r="Y159" s="1"/>
      <c r="Z159" s="1"/>
      <c r="AA159" s="1"/>
      <c r="AB159" s="1"/>
      <c r="AC159" s="1"/>
      <c r="AD159" s="1"/>
      <c r="AE159" s="1"/>
    </row>
    <row r="160" spans="1:31" x14ac:dyDescent="0.25">
      <c r="A160" s="1"/>
      <c r="B160" s="128"/>
      <c r="C160" s="36" t="s">
        <v>63</v>
      </c>
      <c r="D160" s="37" t="s">
        <v>25</v>
      </c>
      <c r="E160" s="38">
        <v>45659</v>
      </c>
      <c r="F160" s="39">
        <v>1</v>
      </c>
      <c r="G160" s="38">
        <v>45816</v>
      </c>
      <c r="H160" s="40"/>
      <c r="I160" s="41"/>
      <c r="J160" s="40"/>
      <c r="K160" s="41"/>
      <c r="L160" s="39">
        <v>0</v>
      </c>
      <c r="M160" s="39" t="s">
        <v>25</v>
      </c>
      <c r="N160" s="39" t="s">
        <v>30</v>
      </c>
      <c r="O160" s="36" t="s">
        <v>64</v>
      </c>
      <c r="P160" s="36" t="s">
        <v>65</v>
      </c>
      <c r="Q160" s="42" t="s">
        <v>66</v>
      </c>
      <c r="R160" s="1"/>
      <c r="S160" s="1"/>
      <c r="T160" s="1"/>
      <c r="U160" s="1"/>
      <c r="V160" s="1"/>
      <c r="W160" s="1"/>
      <c r="X160" s="1"/>
      <c r="Y160" s="1"/>
      <c r="Z160" s="1"/>
      <c r="AA160" s="1"/>
      <c r="AB160" s="1"/>
      <c r="AC160" s="1"/>
      <c r="AD160" s="1"/>
      <c r="AE160" s="1"/>
    </row>
    <row r="161" spans="1:31" ht="25" x14ac:dyDescent="0.25">
      <c r="A161" s="1"/>
      <c r="B161" s="128"/>
      <c r="C161" s="43" t="s">
        <v>67</v>
      </c>
      <c r="D161" s="44" t="s">
        <v>25</v>
      </c>
      <c r="E161" s="45">
        <v>45692</v>
      </c>
      <c r="F161" s="46">
        <v>2</v>
      </c>
      <c r="G161" s="45">
        <v>45879</v>
      </c>
      <c r="H161" s="47"/>
      <c r="I161" s="48"/>
      <c r="J161" s="47"/>
      <c r="K161" s="48"/>
      <c r="L161" s="46">
        <v>1</v>
      </c>
      <c r="M161" s="46">
        <v>0</v>
      </c>
      <c r="N161" s="46" t="s">
        <v>26</v>
      </c>
      <c r="O161" s="43" t="s">
        <v>68</v>
      </c>
      <c r="P161" s="43" t="s">
        <v>69</v>
      </c>
      <c r="Q161" s="49" t="s">
        <v>70</v>
      </c>
      <c r="R161" s="1"/>
      <c r="S161" s="1"/>
      <c r="T161" s="1"/>
      <c r="U161" s="1"/>
      <c r="V161" s="1"/>
      <c r="W161" s="1"/>
      <c r="X161" s="1"/>
      <c r="Y161" s="1"/>
      <c r="Z161" s="1"/>
      <c r="AA161" s="1"/>
      <c r="AB161" s="1"/>
      <c r="AC161" s="1"/>
      <c r="AD161" s="1"/>
      <c r="AE161" s="1"/>
    </row>
    <row r="162" spans="1:31" ht="25" x14ac:dyDescent="0.25">
      <c r="A162" s="1"/>
      <c r="B162" s="128"/>
      <c r="C162" s="36" t="s">
        <v>71</v>
      </c>
      <c r="D162" s="37" t="s">
        <v>25</v>
      </c>
      <c r="E162" s="39" t="s">
        <v>32</v>
      </c>
      <c r="F162" s="39">
        <v>2</v>
      </c>
      <c r="G162" s="38">
        <v>45879</v>
      </c>
      <c r="H162" s="40"/>
      <c r="I162" s="41"/>
      <c r="J162" s="40"/>
      <c r="K162" s="41"/>
      <c r="L162" s="39">
        <v>0</v>
      </c>
      <c r="M162" s="39">
        <v>0</v>
      </c>
      <c r="N162" s="39" t="s">
        <v>30</v>
      </c>
      <c r="O162" s="36" t="s">
        <v>72</v>
      </c>
      <c r="P162" s="36" t="s">
        <v>34</v>
      </c>
      <c r="Q162" s="42" t="s">
        <v>73</v>
      </c>
      <c r="R162" s="1"/>
      <c r="S162" s="1"/>
      <c r="T162" s="1"/>
      <c r="U162" s="1"/>
      <c r="V162" s="1"/>
      <c r="W162" s="1"/>
      <c r="X162" s="1"/>
      <c r="Y162" s="1"/>
      <c r="Z162" s="1"/>
      <c r="AA162" s="1"/>
      <c r="AB162" s="1"/>
      <c r="AC162" s="1"/>
      <c r="AD162" s="1"/>
      <c r="AE162" s="1"/>
    </row>
    <row r="163" spans="1:31" ht="25" x14ac:dyDescent="0.25">
      <c r="A163" s="1"/>
      <c r="B163" s="128"/>
      <c r="C163" s="43" t="s">
        <v>74</v>
      </c>
      <c r="D163" s="44" t="s">
        <v>25</v>
      </c>
      <c r="E163" s="46" t="s">
        <v>32</v>
      </c>
      <c r="F163" s="46">
        <v>1</v>
      </c>
      <c r="G163" s="45">
        <v>45879</v>
      </c>
      <c r="H163" s="47"/>
      <c r="I163" s="48"/>
      <c r="J163" s="47"/>
      <c r="K163" s="48"/>
      <c r="L163" s="46">
        <v>0</v>
      </c>
      <c r="M163" s="46" t="s">
        <v>25</v>
      </c>
      <c r="N163" s="46" t="s">
        <v>30</v>
      </c>
      <c r="O163" s="43" t="s">
        <v>75</v>
      </c>
      <c r="P163" s="51" t="s">
        <v>76</v>
      </c>
      <c r="Q163" s="49" t="s">
        <v>77</v>
      </c>
      <c r="R163" s="1"/>
      <c r="S163" s="1"/>
      <c r="T163" s="1"/>
      <c r="U163" s="1"/>
      <c r="V163" s="1"/>
      <c r="W163" s="1"/>
      <c r="X163" s="1"/>
      <c r="Y163" s="1"/>
      <c r="Z163" s="1"/>
      <c r="AA163" s="1"/>
      <c r="AB163" s="1"/>
      <c r="AC163" s="1"/>
      <c r="AD163" s="1"/>
      <c r="AE163" s="1"/>
    </row>
    <row r="164" spans="1:31" ht="25" x14ac:dyDescent="0.25">
      <c r="A164" s="1"/>
      <c r="B164" s="128"/>
      <c r="C164" s="36" t="s">
        <v>78</v>
      </c>
      <c r="D164" s="37" t="s">
        <v>25</v>
      </c>
      <c r="E164" s="39" t="s">
        <v>32</v>
      </c>
      <c r="F164" s="39">
        <v>2</v>
      </c>
      <c r="G164" s="38">
        <v>45816</v>
      </c>
      <c r="H164" s="40"/>
      <c r="I164" s="41"/>
      <c r="J164" s="40"/>
      <c r="K164" s="41"/>
      <c r="L164" s="39">
        <v>0</v>
      </c>
      <c r="M164" s="39">
        <v>0</v>
      </c>
      <c r="N164" s="39" t="s">
        <v>30</v>
      </c>
      <c r="O164" s="50" t="s">
        <v>79</v>
      </c>
      <c r="P164" s="50" t="s">
        <v>80</v>
      </c>
      <c r="Q164" s="42" t="s">
        <v>81</v>
      </c>
      <c r="R164" s="1"/>
      <c r="S164" s="1"/>
      <c r="T164" s="1"/>
      <c r="U164" s="1"/>
      <c r="V164" s="1"/>
      <c r="W164" s="1"/>
      <c r="X164" s="1"/>
      <c r="Y164" s="1"/>
      <c r="Z164" s="1"/>
      <c r="AA164" s="1"/>
      <c r="AB164" s="1"/>
      <c r="AC164" s="1"/>
      <c r="AD164" s="1"/>
      <c r="AE164" s="1"/>
    </row>
    <row r="165" spans="1:31" ht="37.5" x14ac:dyDescent="0.25">
      <c r="A165" s="1"/>
      <c r="B165" s="130" t="s">
        <v>143</v>
      </c>
      <c r="C165" s="29" t="s">
        <v>48</v>
      </c>
      <c r="D165" s="30" t="s">
        <v>25</v>
      </c>
      <c r="E165" s="31">
        <v>45659</v>
      </c>
      <c r="F165" s="32">
        <v>2</v>
      </c>
      <c r="G165" s="31">
        <v>45879</v>
      </c>
      <c r="H165" s="33"/>
      <c r="I165" s="34"/>
      <c r="J165" s="33"/>
      <c r="K165" s="34"/>
      <c r="L165" s="32">
        <v>0</v>
      </c>
      <c r="M165" s="32">
        <v>0</v>
      </c>
      <c r="N165" s="32" t="s">
        <v>30</v>
      </c>
      <c r="O165" s="29" t="s">
        <v>49</v>
      </c>
      <c r="P165" s="29" t="s">
        <v>50</v>
      </c>
      <c r="Q165" s="35" t="s">
        <v>51</v>
      </c>
      <c r="R165" s="1"/>
      <c r="S165" s="1"/>
      <c r="T165" s="1"/>
      <c r="U165" s="1"/>
      <c r="V165" s="1"/>
      <c r="W165" s="1"/>
      <c r="X165" s="1"/>
      <c r="Y165" s="1"/>
      <c r="Z165" s="1"/>
      <c r="AA165" s="1"/>
      <c r="AB165" s="1"/>
      <c r="AC165" s="1"/>
      <c r="AD165" s="1"/>
      <c r="AE165" s="1"/>
    </row>
    <row r="166" spans="1:31" ht="37.5" x14ac:dyDescent="0.25">
      <c r="A166" s="1"/>
      <c r="B166" s="128"/>
      <c r="C166" s="36" t="s">
        <v>82</v>
      </c>
      <c r="D166" s="37" t="s">
        <v>25</v>
      </c>
      <c r="E166" s="38">
        <v>45691</v>
      </c>
      <c r="F166" s="39">
        <v>2</v>
      </c>
      <c r="G166" s="38">
        <v>45816</v>
      </c>
      <c r="H166" s="40"/>
      <c r="I166" s="41"/>
      <c r="J166" s="40"/>
      <c r="K166" s="41"/>
      <c r="L166" s="39">
        <v>2</v>
      </c>
      <c r="M166" s="39">
        <v>1</v>
      </c>
      <c r="N166" s="39" t="s">
        <v>37</v>
      </c>
      <c r="O166" s="36" t="s">
        <v>83</v>
      </c>
      <c r="P166" s="36" t="s">
        <v>84</v>
      </c>
      <c r="Q166" s="42" t="s">
        <v>85</v>
      </c>
      <c r="R166" s="1"/>
      <c r="S166" s="1"/>
      <c r="T166" s="1"/>
      <c r="U166" s="1"/>
      <c r="V166" s="1"/>
      <c r="W166" s="1"/>
      <c r="X166" s="1"/>
      <c r="Y166" s="1"/>
      <c r="Z166" s="1"/>
      <c r="AA166" s="1"/>
      <c r="AB166" s="1"/>
      <c r="AC166" s="1"/>
      <c r="AD166" s="1"/>
      <c r="AE166" s="1"/>
    </row>
    <row r="167" spans="1:31" x14ac:dyDescent="0.25">
      <c r="A167" s="1"/>
      <c r="B167" s="128"/>
      <c r="C167" s="43" t="s">
        <v>86</v>
      </c>
      <c r="D167" s="44" t="s">
        <v>25</v>
      </c>
      <c r="E167" s="45">
        <v>45692</v>
      </c>
      <c r="F167" s="46">
        <v>2</v>
      </c>
      <c r="G167" s="45">
        <v>45816</v>
      </c>
      <c r="H167" s="47"/>
      <c r="I167" s="48"/>
      <c r="J167" s="47"/>
      <c r="K167" s="48"/>
      <c r="L167" s="46">
        <v>1</v>
      </c>
      <c r="M167" s="46">
        <v>0</v>
      </c>
      <c r="N167" s="46" t="s">
        <v>37</v>
      </c>
      <c r="O167" s="43" t="s">
        <v>87</v>
      </c>
      <c r="P167" s="43" t="s">
        <v>88</v>
      </c>
      <c r="Q167" s="49" t="s">
        <v>89</v>
      </c>
      <c r="R167" s="1"/>
      <c r="S167" s="1"/>
      <c r="T167" s="1"/>
      <c r="U167" s="1"/>
      <c r="V167" s="1"/>
      <c r="W167" s="1"/>
      <c r="X167" s="1"/>
      <c r="Y167" s="1"/>
      <c r="Z167" s="1"/>
      <c r="AA167" s="1"/>
      <c r="AB167" s="1"/>
      <c r="AC167" s="1"/>
      <c r="AD167" s="1"/>
      <c r="AE167" s="1"/>
    </row>
    <row r="168" spans="1:31" ht="25" x14ac:dyDescent="0.25">
      <c r="A168" s="1"/>
      <c r="B168" s="128"/>
      <c r="C168" s="36" t="s">
        <v>90</v>
      </c>
      <c r="D168" s="37" t="s">
        <v>25</v>
      </c>
      <c r="E168" s="38">
        <v>45692</v>
      </c>
      <c r="F168" s="39">
        <v>1</v>
      </c>
      <c r="G168" s="38">
        <v>45816</v>
      </c>
      <c r="H168" s="40"/>
      <c r="I168" s="41"/>
      <c r="J168" s="40"/>
      <c r="K168" s="41"/>
      <c r="L168" s="39">
        <v>0</v>
      </c>
      <c r="M168" s="39" t="s">
        <v>25</v>
      </c>
      <c r="N168" s="39" t="s">
        <v>37</v>
      </c>
      <c r="O168" s="36" t="s">
        <v>91</v>
      </c>
      <c r="P168" s="36" t="s">
        <v>92</v>
      </c>
      <c r="Q168" s="42" t="s">
        <v>93</v>
      </c>
      <c r="R168" s="1"/>
      <c r="S168" s="1"/>
      <c r="T168" s="1"/>
      <c r="U168" s="1"/>
      <c r="V168" s="1"/>
      <c r="W168" s="1"/>
      <c r="X168" s="1"/>
      <c r="Y168" s="1"/>
      <c r="Z168" s="1"/>
      <c r="AA168" s="1"/>
      <c r="AB168" s="1"/>
      <c r="AC168" s="1"/>
      <c r="AD168" s="1"/>
      <c r="AE168" s="1"/>
    </row>
    <row r="169" spans="1:31" ht="37.5" x14ac:dyDescent="0.25">
      <c r="A169" s="1"/>
      <c r="B169" s="131"/>
      <c r="C169" s="64" t="s">
        <v>52</v>
      </c>
      <c r="D169" s="65" t="s">
        <v>25</v>
      </c>
      <c r="E169" s="66" t="s">
        <v>32</v>
      </c>
      <c r="F169" s="66">
        <v>2</v>
      </c>
      <c r="G169" s="69">
        <v>45879</v>
      </c>
      <c r="H169" s="67"/>
      <c r="I169" s="68"/>
      <c r="J169" s="67"/>
      <c r="K169" s="68"/>
      <c r="L169" s="66">
        <v>0</v>
      </c>
      <c r="M169" s="66">
        <v>0</v>
      </c>
      <c r="N169" s="66" t="s">
        <v>30</v>
      </c>
      <c r="O169" s="64" t="s">
        <v>53</v>
      </c>
      <c r="P169" s="64" t="s">
        <v>54</v>
      </c>
      <c r="Q169" s="70" t="s">
        <v>55</v>
      </c>
      <c r="R169" s="1"/>
      <c r="S169" s="1"/>
      <c r="T169" s="1"/>
      <c r="U169" s="1"/>
      <c r="V169" s="1"/>
      <c r="W169" s="1"/>
      <c r="X169" s="1"/>
      <c r="Y169" s="1"/>
      <c r="Z169" s="1"/>
      <c r="AA169" s="1"/>
      <c r="AB169" s="1"/>
      <c r="AC169" s="1"/>
      <c r="AD169" s="1"/>
      <c r="AE169" s="1"/>
    </row>
    <row r="170" spans="1:31" ht="37.5" x14ac:dyDescent="0.25">
      <c r="A170" s="1"/>
      <c r="B170" s="130" t="s">
        <v>94</v>
      </c>
      <c r="C170" s="36" t="s">
        <v>95</v>
      </c>
      <c r="D170" s="37" t="s">
        <v>25</v>
      </c>
      <c r="E170" s="39" t="s">
        <v>32</v>
      </c>
      <c r="F170" s="39">
        <v>2</v>
      </c>
      <c r="G170" s="38">
        <v>45816</v>
      </c>
      <c r="H170" s="40"/>
      <c r="I170" s="41"/>
      <c r="J170" s="40"/>
      <c r="K170" s="41"/>
      <c r="L170" s="39">
        <v>0</v>
      </c>
      <c r="M170" s="39">
        <v>0</v>
      </c>
      <c r="N170" s="39" t="s">
        <v>30</v>
      </c>
      <c r="O170" s="36" t="s">
        <v>96</v>
      </c>
      <c r="P170" s="36" t="s">
        <v>97</v>
      </c>
      <c r="Q170" s="42" t="s">
        <v>98</v>
      </c>
      <c r="R170" s="1"/>
      <c r="S170" s="1"/>
      <c r="T170" s="1"/>
      <c r="U170" s="1"/>
      <c r="V170" s="1"/>
      <c r="W170" s="1"/>
      <c r="X170" s="1"/>
      <c r="Y170" s="1"/>
      <c r="Z170" s="1"/>
      <c r="AA170" s="1"/>
      <c r="AB170" s="1"/>
      <c r="AC170" s="1"/>
      <c r="AD170" s="1"/>
      <c r="AE170" s="1"/>
    </row>
    <row r="171" spans="1:31" ht="25" x14ac:dyDescent="0.25">
      <c r="A171" s="1"/>
      <c r="B171" s="128"/>
      <c r="C171" s="43" t="s">
        <v>99</v>
      </c>
      <c r="D171" s="44" t="s">
        <v>25</v>
      </c>
      <c r="E171" s="46" t="s">
        <v>32</v>
      </c>
      <c r="F171" s="46">
        <v>2</v>
      </c>
      <c r="G171" s="45">
        <v>45879</v>
      </c>
      <c r="H171" s="47"/>
      <c r="I171" s="48"/>
      <c r="J171" s="47"/>
      <c r="K171" s="48"/>
      <c r="L171" s="46">
        <v>0</v>
      </c>
      <c r="M171" s="46">
        <v>0</v>
      </c>
      <c r="N171" s="46" t="s">
        <v>30</v>
      </c>
      <c r="O171" s="43" t="s">
        <v>100</v>
      </c>
      <c r="P171" s="43" t="s">
        <v>101</v>
      </c>
      <c r="Q171" s="49" t="s">
        <v>102</v>
      </c>
      <c r="R171" s="1"/>
      <c r="S171" s="1"/>
      <c r="T171" s="1"/>
      <c r="U171" s="1"/>
      <c r="V171" s="1"/>
      <c r="W171" s="1"/>
      <c r="X171" s="1"/>
      <c r="Y171" s="1"/>
      <c r="Z171" s="1"/>
      <c r="AA171" s="1"/>
      <c r="AB171" s="1"/>
      <c r="AC171" s="1"/>
      <c r="AD171" s="1"/>
      <c r="AE171" s="1"/>
    </row>
    <row r="172" spans="1:31" ht="25" x14ac:dyDescent="0.25">
      <c r="A172" s="1"/>
      <c r="B172" s="128"/>
      <c r="C172" s="36" t="s">
        <v>103</v>
      </c>
      <c r="D172" s="37" t="s">
        <v>25</v>
      </c>
      <c r="E172" s="39" t="s">
        <v>32</v>
      </c>
      <c r="F172" s="39">
        <v>1</v>
      </c>
      <c r="G172" s="38">
        <v>45879</v>
      </c>
      <c r="H172" s="40"/>
      <c r="I172" s="41"/>
      <c r="J172" s="40"/>
      <c r="K172" s="41"/>
      <c r="L172" s="39">
        <v>0</v>
      </c>
      <c r="M172" s="39" t="s">
        <v>25</v>
      </c>
      <c r="N172" s="39" t="s">
        <v>30</v>
      </c>
      <c r="O172" s="36" t="s">
        <v>104</v>
      </c>
      <c r="P172" s="36" t="s">
        <v>105</v>
      </c>
      <c r="Q172" s="42" t="s">
        <v>106</v>
      </c>
      <c r="R172" s="1"/>
      <c r="S172" s="1"/>
      <c r="T172" s="1"/>
      <c r="U172" s="1"/>
      <c r="V172" s="1"/>
      <c r="W172" s="1"/>
      <c r="X172" s="1"/>
      <c r="Y172" s="1"/>
      <c r="Z172" s="1"/>
      <c r="AA172" s="1"/>
      <c r="AB172" s="1"/>
      <c r="AC172" s="1"/>
      <c r="AD172" s="1"/>
      <c r="AE172" s="1"/>
    </row>
    <row r="173" spans="1:31" x14ac:dyDescent="0.25">
      <c r="A173" s="1"/>
      <c r="B173" s="128"/>
      <c r="C173" s="43" t="s">
        <v>107</v>
      </c>
      <c r="D173" s="44" t="s">
        <v>25</v>
      </c>
      <c r="E173" s="46" t="s">
        <v>32</v>
      </c>
      <c r="F173" s="46">
        <v>2</v>
      </c>
      <c r="G173" s="45">
        <v>45879</v>
      </c>
      <c r="H173" s="47"/>
      <c r="I173" s="48"/>
      <c r="J173" s="47"/>
      <c r="K173" s="48"/>
      <c r="L173" s="46">
        <v>0</v>
      </c>
      <c r="M173" s="46">
        <v>0</v>
      </c>
      <c r="N173" s="46" t="s">
        <v>30</v>
      </c>
      <c r="O173" s="43" t="s">
        <v>108</v>
      </c>
      <c r="P173" s="43" t="s">
        <v>109</v>
      </c>
      <c r="Q173" s="49" t="s">
        <v>110</v>
      </c>
      <c r="R173" s="1"/>
      <c r="S173" s="1"/>
      <c r="T173" s="1"/>
      <c r="U173" s="1"/>
      <c r="V173" s="1"/>
      <c r="W173" s="1"/>
      <c r="X173" s="1"/>
      <c r="Y173" s="1"/>
      <c r="Z173" s="1"/>
      <c r="AA173" s="1"/>
      <c r="AB173" s="1"/>
      <c r="AC173" s="1"/>
      <c r="AD173" s="1"/>
      <c r="AE173" s="1"/>
    </row>
    <row r="174" spans="1:31" x14ac:dyDescent="0.25">
      <c r="A174" s="1"/>
      <c r="B174" s="128"/>
      <c r="C174" s="36" t="s">
        <v>111</v>
      </c>
      <c r="D174" s="37" t="s">
        <v>25</v>
      </c>
      <c r="E174" s="39" t="s">
        <v>32</v>
      </c>
      <c r="F174" s="39">
        <v>2</v>
      </c>
      <c r="G174" s="38">
        <v>45879</v>
      </c>
      <c r="H174" s="40"/>
      <c r="I174" s="41"/>
      <c r="J174" s="40"/>
      <c r="K174" s="41"/>
      <c r="L174" s="39">
        <v>0</v>
      </c>
      <c r="M174" s="39">
        <v>0</v>
      </c>
      <c r="N174" s="39" t="s">
        <v>30</v>
      </c>
      <c r="O174" s="36" t="s">
        <v>112</v>
      </c>
      <c r="P174" s="37" t="s">
        <v>25</v>
      </c>
      <c r="Q174" s="42" t="s">
        <v>113</v>
      </c>
      <c r="R174" s="1"/>
      <c r="S174" s="1"/>
      <c r="T174" s="1"/>
      <c r="U174" s="1"/>
      <c r="V174" s="1"/>
      <c r="W174" s="1"/>
      <c r="X174" s="1"/>
      <c r="Y174" s="1"/>
      <c r="Z174" s="1"/>
      <c r="AA174" s="1"/>
      <c r="AB174" s="1"/>
      <c r="AC174" s="1"/>
      <c r="AD174" s="1"/>
      <c r="AE174" s="1"/>
    </row>
    <row r="175" spans="1:31" x14ac:dyDescent="0.25">
      <c r="A175" s="1"/>
      <c r="B175" s="128"/>
      <c r="C175" s="43" t="s">
        <v>114</v>
      </c>
      <c r="D175" s="44" t="s">
        <v>25</v>
      </c>
      <c r="E175" s="46" t="s">
        <v>32</v>
      </c>
      <c r="F175" s="46">
        <v>2</v>
      </c>
      <c r="G175" s="45">
        <v>45879</v>
      </c>
      <c r="H175" s="47"/>
      <c r="I175" s="48"/>
      <c r="J175" s="47"/>
      <c r="K175" s="48"/>
      <c r="L175" s="46">
        <v>0</v>
      </c>
      <c r="M175" s="46">
        <v>0</v>
      </c>
      <c r="N175" s="46" t="s">
        <v>30</v>
      </c>
      <c r="O175" s="43" t="s">
        <v>115</v>
      </c>
      <c r="P175" s="44" t="s">
        <v>25</v>
      </c>
      <c r="Q175" s="49" t="s">
        <v>113</v>
      </c>
      <c r="R175" s="1"/>
      <c r="S175" s="1"/>
      <c r="T175" s="1"/>
      <c r="U175" s="1"/>
      <c r="V175" s="1"/>
      <c r="W175" s="1"/>
      <c r="X175" s="1"/>
      <c r="Y175" s="1"/>
      <c r="Z175" s="1"/>
      <c r="AA175" s="1"/>
      <c r="AB175" s="1"/>
      <c r="AC175" s="1"/>
      <c r="AD175" s="1"/>
      <c r="AE175" s="1"/>
    </row>
    <row r="176" spans="1:31" x14ac:dyDescent="0.25">
      <c r="A176" s="1"/>
      <c r="B176" s="128"/>
      <c r="C176" s="36" t="s">
        <v>116</v>
      </c>
      <c r="D176" s="37" t="s">
        <v>25</v>
      </c>
      <c r="E176" s="39" t="s">
        <v>32</v>
      </c>
      <c r="F176" s="39">
        <v>1</v>
      </c>
      <c r="G176" s="38">
        <v>45816</v>
      </c>
      <c r="H176" s="40"/>
      <c r="I176" s="41"/>
      <c r="J176" s="40"/>
      <c r="K176" s="41"/>
      <c r="L176" s="39">
        <v>0</v>
      </c>
      <c r="M176" s="39" t="s">
        <v>25</v>
      </c>
      <c r="N176" s="39" t="s">
        <v>30</v>
      </c>
      <c r="O176" s="36" t="s">
        <v>117</v>
      </c>
      <c r="P176" s="36" t="s">
        <v>118</v>
      </c>
      <c r="Q176" s="42" t="s">
        <v>119</v>
      </c>
      <c r="R176" s="1"/>
      <c r="S176" s="1"/>
      <c r="T176" s="1"/>
      <c r="U176" s="1"/>
      <c r="V176" s="1"/>
      <c r="W176" s="1"/>
      <c r="X176" s="1"/>
      <c r="Y176" s="1"/>
      <c r="Z176" s="1"/>
      <c r="AA176" s="1"/>
      <c r="AB176" s="1"/>
      <c r="AC176" s="1"/>
      <c r="AD176" s="1"/>
      <c r="AE176" s="1"/>
    </row>
    <row r="177" spans="1:31" ht="25" x14ac:dyDescent="0.25">
      <c r="A177" s="1"/>
      <c r="B177" s="128"/>
      <c r="C177" s="43" t="s">
        <v>34</v>
      </c>
      <c r="D177" s="44" t="s">
        <v>25</v>
      </c>
      <c r="E177" s="46" t="s">
        <v>32</v>
      </c>
      <c r="F177" s="46">
        <v>2</v>
      </c>
      <c r="G177" s="45">
        <v>45879</v>
      </c>
      <c r="H177" s="47"/>
      <c r="I177" s="46"/>
      <c r="J177" s="47"/>
      <c r="K177" s="48"/>
      <c r="L177" s="46">
        <v>0</v>
      </c>
      <c r="M177" s="46">
        <v>0</v>
      </c>
      <c r="N177" s="46" t="s">
        <v>30</v>
      </c>
      <c r="O177" s="43" t="s">
        <v>71</v>
      </c>
      <c r="P177" s="43" t="s">
        <v>72</v>
      </c>
      <c r="Q177" s="49" t="s">
        <v>120</v>
      </c>
      <c r="R177" s="1"/>
      <c r="S177" s="1"/>
      <c r="T177" s="1"/>
      <c r="U177" s="1"/>
      <c r="V177" s="1"/>
      <c r="W177" s="1"/>
      <c r="X177" s="1"/>
      <c r="Y177" s="1"/>
      <c r="Z177" s="1"/>
      <c r="AA177" s="1"/>
      <c r="AB177" s="1"/>
      <c r="AC177" s="1"/>
      <c r="AD177" s="1"/>
      <c r="AE177" s="1"/>
    </row>
    <row r="178" spans="1:31" x14ac:dyDescent="0.25">
      <c r="A178" s="1"/>
      <c r="B178" s="131"/>
      <c r="C178" s="59" t="s">
        <v>121</v>
      </c>
      <c r="D178" s="60" t="s">
        <v>25</v>
      </c>
      <c r="E178" s="61" t="s">
        <v>32</v>
      </c>
      <c r="F178" s="61">
        <v>2</v>
      </c>
      <c r="G178" s="61" t="s">
        <v>25</v>
      </c>
      <c r="H178" s="62"/>
      <c r="I178" s="61"/>
      <c r="J178" s="62"/>
      <c r="K178" s="63"/>
      <c r="L178" s="61">
        <v>0</v>
      </c>
      <c r="M178" s="61">
        <v>0</v>
      </c>
      <c r="N178" s="61" t="s">
        <v>30</v>
      </c>
      <c r="O178" s="60" t="s">
        <v>25</v>
      </c>
      <c r="P178" s="60" t="s">
        <v>25</v>
      </c>
      <c r="Q178" s="71" t="s">
        <v>122</v>
      </c>
      <c r="R178" s="1"/>
      <c r="S178" s="1"/>
      <c r="T178" s="1"/>
      <c r="U178" s="1"/>
      <c r="V178" s="1"/>
      <c r="W178" s="1"/>
      <c r="X178" s="1"/>
      <c r="Y178" s="1"/>
      <c r="Z178" s="1"/>
      <c r="AA178" s="1"/>
      <c r="AB178" s="1"/>
      <c r="AC178" s="1"/>
      <c r="AD178" s="1"/>
      <c r="AE178" s="1"/>
    </row>
    <row r="179" spans="1:31" ht="13" x14ac:dyDescent="0.25">
      <c r="A179" s="1"/>
      <c r="B179" s="155" t="s">
        <v>141</v>
      </c>
      <c r="C179" s="156"/>
      <c r="D179" s="156"/>
      <c r="E179" s="156"/>
      <c r="F179" s="156"/>
      <c r="G179" s="156"/>
      <c r="H179" s="156"/>
      <c r="I179" s="156"/>
      <c r="J179" s="156"/>
      <c r="K179" s="156"/>
      <c r="L179" s="156"/>
      <c r="M179" s="156"/>
      <c r="N179" s="156"/>
      <c r="O179" s="156"/>
      <c r="P179" s="156"/>
      <c r="Q179" s="157"/>
      <c r="R179" s="1"/>
      <c r="S179" s="1"/>
      <c r="T179" s="1"/>
      <c r="U179" s="1"/>
      <c r="V179" s="1"/>
      <c r="W179" s="1"/>
      <c r="X179" s="1"/>
      <c r="Y179" s="1"/>
      <c r="Z179" s="1"/>
      <c r="AA179" s="1"/>
      <c r="AB179" s="1"/>
      <c r="AC179" s="1"/>
      <c r="AD179" s="1"/>
      <c r="AE179" s="1"/>
    </row>
    <row r="180" spans="1:31" x14ac:dyDescent="0.25">
      <c r="A180" s="1"/>
      <c r="B180" s="1"/>
      <c r="C180" s="5"/>
      <c r="D180" s="5"/>
      <c r="E180" s="1"/>
      <c r="F180" s="1"/>
      <c r="G180" s="1"/>
      <c r="H180" s="1"/>
      <c r="I180" s="1"/>
      <c r="J180" s="1"/>
      <c r="K180" s="1"/>
      <c r="L180" s="1"/>
      <c r="M180" s="1"/>
      <c r="N180" s="1"/>
      <c r="O180" s="5"/>
      <c r="P180" s="5"/>
      <c r="Q180" s="5"/>
      <c r="R180" s="1"/>
      <c r="S180" s="1"/>
      <c r="T180" s="1"/>
      <c r="U180" s="1"/>
      <c r="V180" s="1"/>
      <c r="W180" s="1"/>
      <c r="X180" s="1"/>
      <c r="Y180" s="1"/>
      <c r="Z180" s="1"/>
      <c r="AA180" s="1"/>
      <c r="AB180" s="1"/>
      <c r="AC180" s="1"/>
      <c r="AD180" s="1"/>
      <c r="AE180" s="1"/>
    </row>
    <row r="181" spans="1:31" x14ac:dyDescent="0.25">
      <c r="A181" s="1"/>
      <c r="B181" s="1"/>
      <c r="C181" s="5"/>
      <c r="D181" s="5"/>
      <c r="E181" s="1"/>
      <c r="F181" s="1"/>
      <c r="G181" s="1"/>
      <c r="H181" s="1"/>
      <c r="I181" s="1"/>
      <c r="J181" s="1"/>
      <c r="K181" s="1"/>
      <c r="L181" s="1"/>
      <c r="M181" s="1"/>
      <c r="N181" s="1"/>
      <c r="O181" s="5"/>
      <c r="P181" s="5"/>
      <c r="Q181" s="5"/>
      <c r="R181" s="1"/>
      <c r="S181" s="1"/>
      <c r="T181" s="1"/>
      <c r="U181" s="1"/>
      <c r="V181" s="1"/>
      <c r="W181" s="1"/>
      <c r="X181" s="1"/>
      <c r="Y181" s="1"/>
      <c r="Z181" s="1"/>
      <c r="AA181" s="1"/>
      <c r="AB181" s="1"/>
      <c r="AC181" s="1"/>
      <c r="AD181" s="1"/>
      <c r="AE181" s="1"/>
    </row>
    <row r="182" spans="1:31" x14ac:dyDescent="0.25">
      <c r="A182" s="1"/>
      <c r="B182" s="132" t="s">
        <v>127</v>
      </c>
      <c r="C182" s="135" t="s">
        <v>7</v>
      </c>
      <c r="D182" s="135" t="s">
        <v>8</v>
      </c>
      <c r="E182" s="135" t="s">
        <v>9</v>
      </c>
      <c r="F182" s="139" t="s">
        <v>10</v>
      </c>
      <c r="G182" s="142" t="s">
        <v>11</v>
      </c>
      <c r="H182" s="143" t="s">
        <v>12</v>
      </c>
      <c r="I182" s="144"/>
      <c r="J182" s="144"/>
      <c r="K182" s="145"/>
      <c r="L182" s="146" t="s">
        <v>13</v>
      </c>
      <c r="M182" s="147"/>
      <c r="N182" s="150" t="s">
        <v>14</v>
      </c>
      <c r="O182" s="138" t="s">
        <v>15</v>
      </c>
      <c r="P182" s="138" t="s">
        <v>16</v>
      </c>
      <c r="Q182" s="135" t="s">
        <v>17</v>
      </c>
      <c r="R182" s="1"/>
      <c r="S182" s="1"/>
      <c r="T182" s="1"/>
      <c r="U182" s="1"/>
      <c r="V182" s="1"/>
      <c r="W182" s="1"/>
      <c r="X182" s="1"/>
      <c r="Y182" s="1"/>
      <c r="Z182" s="1"/>
      <c r="AA182" s="1"/>
      <c r="AB182" s="1"/>
      <c r="AC182" s="1"/>
      <c r="AD182" s="1"/>
      <c r="AE182" s="1"/>
    </row>
    <row r="183" spans="1:31" x14ac:dyDescent="0.25">
      <c r="A183" s="1"/>
      <c r="B183" s="133"/>
      <c r="C183" s="136"/>
      <c r="D183" s="136"/>
      <c r="E183" s="136"/>
      <c r="F183" s="140"/>
      <c r="G183" s="128"/>
      <c r="H183" s="152" t="s">
        <v>18</v>
      </c>
      <c r="I183" s="153"/>
      <c r="J183" s="154" t="s">
        <v>19</v>
      </c>
      <c r="K183" s="153"/>
      <c r="L183" s="148"/>
      <c r="M183" s="149"/>
      <c r="N183" s="149"/>
      <c r="O183" s="136"/>
      <c r="P183" s="136"/>
      <c r="Q183" s="136"/>
      <c r="R183" s="1"/>
      <c r="S183" s="1"/>
      <c r="T183" s="1"/>
      <c r="U183" s="1"/>
      <c r="V183" s="1"/>
      <c r="W183" s="1"/>
      <c r="X183" s="1"/>
      <c r="Y183" s="1"/>
      <c r="Z183" s="1"/>
      <c r="AA183" s="1"/>
      <c r="AB183" s="1"/>
      <c r="AC183" s="1"/>
      <c r="AD183" s="1"/>
      <c r="AE183" s="1"/>
    </row>
    <row r="184" spans="1:31" ht="13" x14ac:dyDescent="0.25">
      <c r="A184" s="1"/>
      <c r="B184" s="134"/>
      <c r="C184" s="137"/>
      <c r="D184" s="137"/>
      <c r="E184" s="137"/>
      <c r="F184" s="141"/>
      <c r="G184" s="128"/>
      <c r="H184" s="9" t="s">
        <v>20</v>
      </c>
      <c r="I184" s="10" t="s">
        <v>21</v>
      </c>
      <c r="J184" s="11" t="s">
        <v>20</v>
      </c>
      <c r="K184" s="10" t="s">
        <v>21</v>
      </c>
      <c r="L184" s="12" t="s">
        <v>22</v>
      </c>
      <c r="M184" s="12" t="s">
        <v>23</v>
      </c>
      <c r="N184" s="151"/>
      <c r="O184" s="137"/>
      <c r="P184" s="137"/>
      <c r="Q184" s="137"/>
      <c r="R184" s="1"/>
      <c r="S184" s="1"/>
      <c r="T184" s="1"/>
      <c r="U184" s="1"/>
      <c r="V184" s="1"/>
      <c r="W184" s="1"/>
      <c r="X184" s="1"/>
      <c r="Y184" s="1"/>
      <c r="Z184" s="1"/>
      <c r="AA184" s="1"/>
      <c r="AB184" s="1"/>
      <c r="AC184" s="1"/>
      <c r="AD184" s="1"/>
      <c r="AE184" s="1"/>
    </row>
    <row r="185" spans="1:31" ht="25" x14ac:dyDescent="0.25">
      <c r="A185" s="1"/>
      <c r="B185" s="127" t="s">
        <v>140</v>
      </c>
      <c r="C185" s="13" t="s">
        <v>41</v>
      </c>
      <c r="D185" s="14" t="s">
        <v>25</v>
      </c>
      <c r="E185" s="15">
        <v>45659</v>
      </c>
      <c r="F185" s="14">
        <v>2</v>
      </c>
      <c r="G185" s="15">
        <v>45816</v>
      </c>
      <c r="H185" s="16"/>
      <c r="I185" s="17"/>
      <c r="J185" s="18"/>
      <c r="K185" s="17"/>
      <c r="L185" s="14">
        <v>0</v>
      </c>
      <c r="M185" s="14">
        <v>0</v>
      </c>
      <c r="N185" s="14" t="s">
        <v>30</v>
      </c>
      <c r="O185" s="13" t="s">
        <v>42</v>
      </c>
      <c r="P185" s="13" t="s">
        <v>43</v>
      </c>
      <c r="Q185" s="19" t="s">
        <v>44</v>
      </c>
      <c r="R185" s="1"/>
      <c r="S185" s="1"/>
      <c r="T185" s="1"/>
      <c r="U185" s="1"/>
      <c r="V185" s="1"/>
      <c r="W185" s="1"/>
      <c r="X185" s="1"/>
      <c r="Y185" s="1"/>
      <c r="Z185" s="1"/>
      <c r="AA185" s="1"/>
      <c r="AB185" s="1"/>
      <c r="AC185" s="1"/>
      <c r="AD185" s="1"/>
      <c r="AE185" s="1"/>
    </row>
    <row r="186" spans="1:31" ht="25" x14ac:dyDescent="0.25">
      <c r="A186" s="1"/>
      <c r="B186" s="128"/>
      <c r="C186" s="90" t="s">
        <v>45</v>
      </c>
      <c r="D186" s="21" t="s">
        <v>25</v>
      </c>
      <c r="E186" s="22">
        <v>45692</v>
      </c>
      <c r="F186" s="21">
        <v>2</v>
      </c>
      <c r="G186" s="22">
        <v>45816</v>
      </c>
      <c r="H186" s="23"/>
      <c r="I186" s="24"/>
      <c r="J186" s="25"/>
      <c r="K186" s="24"/>
      <c r="L186" s="21">
        <v>1</v>
      </c>
      <c r="M186" s="21">
        <v>0</v>
      </c>
      <c r="N186" s="21" t="s">
        <v>26</v>
      </c>
      <c r="O186" s="21" t="s">
        <v>46</v>
      </c>
      <c r="P186" s="21" t="s">
        <v>46</v>
      </c>
      <c r="Q186" s="26" t="s">
        <v>47</v>
      </c>
      <c r="R186" s="1"/>
      <c r="S186" s="1"/>
      <c r="T186" s="1"/>
      <c r="U186" s="1"/>
      <c r="V186" s="1"/>
      <c r="W186" s="1"/>
      <c r="X186" s="1"/>
      <c r="Y186" s="1"/>
      <c r="Z186" s="1"/>
      <c r="AA186" s="1"/>
      <c r="AB186" s="1"/>
      <c r="AC186" s="1"/>
      <c r="AD186" s="1"/>
      <c r="AE186" s="1"/>
    </row>
    <row r="187" spans="1:31" ht="25" x14ac:dyDescent="0.25">
      <c r="A187" s="1"/>
      <c r="B187" s="128"/>
      <c r="C187" s="20" t="s">
        <v>24</v>
      </c>
      <c r="D187" s="21" t="s">
        <v>25</v>
      </c>
      <c r="E187" s="22">
        <v>45692</v>
      </c>
      <c r="F187" s="21">
        <v>2</v>
      </c>
      <c r="G187" s="22">
        <v>45816</v>
      </c>
      <c r="H187" s="23"/>
      <c r="I187" s="24"/>
      <c r="J187" s="25"/>
      <c r="K187" s="24"/>
      <c r="L187" s="21">
        <v>1</v>
      </c>
      <c r="M187" s="21">
        <v>0</v>
      </c>
      <c r="N187" s="21" t="s">
        <v>26</v>
      </c>
      <c r="O187" s="20" t="s">
        <v>27</v>
      </c>
      <c r="P187" s="20" t="s">
        <v>28</v>
      </c>
      <c r="Q187" s="26" t="s">
        <v>29</v>
      </c>
      <c r="R187" s="1"/>
      <c r="S187" s="1"/>
      <c r="T187" s="1"/>
      <c r="U187" s="1"/>
      <c r="V187" s="1"/>
      <c r="W187" s="1"/>
      <c r="X187" s="1"/>
      <c r="Y187" s="1"/>
      <c r="Z187" s="1"/>
      <c r="AA187" s="1"/>
      <c r="AB187" s="1"/>
      <c r="AC187" s="1"/>
      <c r="AD187" s="1"/>
      <c r="AE187" s="1"/>
    </row>
    <row r="188" spans="1:31" ht="25" x14ac:dyDescent="0.25">
      <c r="A188" s="1"/>
      <c r="B188" s="128"/>
      <c r="C188" s="20" t="s">
        <v>31</v>
      </c>
      <c r="D188" s="21" t="s">
        <v>25</v>
      </c>
      <c r="E188" s="21" t="s">
        <v>32</v>
      </c>
      <c r="F188" s="21">
        <v>1</v>
      </c>
      <c r="G188" s="22">
        <v>45879</v>
      </c>
      <c r="H188" s="23"/>
      <c r="I188" s="24"/>
      <c r="J188" s="25"/>
      <c r="K188" s="24"/>
      <c r="L188" s="21">
        <v>0</v>
      </c>
      <c r="M188" s="21" t="s">
        <v>25</v>
      </c>
      <c r="N188" s="21" t="s">
        <v>30</v>
      </c>
      <c r="O188" s="20" t="s">
        <v>33</v>
      </c>
      <c r="P188" s="20" t="s">
        <v>34</v>
      </c>
      <c r="Q188" s="26" t="s">
        <v>35</v>
      </c>
      <c r="R188" s="1"/>
      <c r="S188" s="1"/>
      <c r="T188" s="1"/>
      <c r="U188" s="1"/>
      <c r="V188" s="1"/>
      <c r="W188" s="1"/>
      <c r="X188" s="1"/>
      <c r="Y188" s="1"/>
      <c r="Z188" s="1"/>
      <c r="AA188" s="1"/>
      <c r="AB188" s="1"/>
      <c r="AC188" s="1"/>
      <c r="AD188" s="1"/>
      <c r="AE188" s="1"/>
    </row>
    <row r="189" spans="1:31" ht="25" x14ac:dyDescent="0.25">
      <c r="A189" s="1"/>
      <c r="B189" s="128"/>
      <c r="C189" s="20" t="s">
        <v>36</v>
      </c>
      <c r="D189" s="21" t="s">
        <v>25</v>
      </c>
      <c r="E189" s="22">
        <v>45659</v>
      </c>
      <c r="F189" s="21">
        <v>2</v>
      </c>
      <c r="G189" s="22">
        <v>45816</v>
      </c>
      <c r="H189" s="23"/>
      <c r="I189" s="24"/>
      <c r="J189" s="25"/>
      <c r="K189" s="24"/>
      <c r="L189" s="21">
        <v>1</v>
      </c>
      <c r="M189" s="21">
        <v>0</v>
      </c>
      <c r="N189" s="21" t="s">
        <v>37</v>
      </c>
      <c r="O189" s="20" t="s">
        <v>38</v>
      </c>
      <c r="P189" s="20" t="s">
        <v>39</v>
      </c>
      <c r="Q189" s="26" t="s">
        <v>40</v>
      </c>
      <c r="R189" s="1"/>
      <c r="S189" s="1"/>
      <c r="T189" s="1"/>
      <c r="U189" s="1"/>
      <c r="V189" s="1"/>
      <c r="W189" s="1"/>
      <c r="X189" s="1"/>
      <c r="Y189" s="1"/>
      <c r="Z189" s="1"/>
      <c r="AA189" s="1"/>
      <c r="AB189" s="1"/>
      <c r="AC189" s="1"/>
      <c r="AD189" s="1"/>
      <c r="AE189" s="1"/>
    </row>
    <row r="190" spans="1:31" ht="37.5" x14ac:dyDescent="0.25">
      <c r="A190" s="1"/>
      <c r="B190" s="129"/>
      <c r="C190" s="20" t="s">
        <v>52</v>
      </c>
      <c r="D190" s="21" t="s">
        <v>25</v>
      </c>
      <c r="E190" s="21" t="s">
        <v>32</v>
      </c>
      <c r="F190" s="21">
        <v>1</v>
      </c>
      <c r="G190" s="22">
        <v>45816</v>
      </c>
      <c r="H190" s="23"/>
      <c r="I190" s="24"/>
      <c r="J190" s="25"/>
      <c r="K190" s="24"/>
      <c r="L190" s="21">
        <v>0</v>
      </c>
      <c r="M190" s="21" t="s">
        <v>25</v>
      </c>
      <c r="N190" s="21" t="s">
        <v>30</v>
      </c>
      <c r="O190" s="20" t="s">
        <v>53</v>
      </c>
      <c r="P190" s="20" t="s">
        <v>54</v>
      </c>
      <c r="Q190" s="26" t="s">
        <v>55</v>
      </c>
      <c r="R190" s="1"/>
      <c r="S190" s="1"/>
      <c r="T190" s="1"/>
      <c r="U190" s="1"/>
      <c r="V190" s="1"/>
      <c r="W190" s="1"/>
      <c r="X190" s="1"/>
      <c r="Y190" s="1"/>
      <c r="Z190" s="1"/>
      <c r="AA190" s="1"/>
      <c r="AB190" s="1"/>
      <c r="AC190" s="1"/>
      <c r="AD190" s="1"/>
      <c r="AE190" s="1"/>
    </row>
    <row r="191" spans="1:31" ht="13" x14ac:dyDescent="0.25">
      <c r="A191" s="1"/>
      <c r="B191" s="155" t="s">
        <v>141</v>
      </c>
      <c r="C191" s="156"/>
      <c r="D191" s="156"/>
      <c r="E191" s="156"/>
      <c r="F191" s="156"/>
      <c r="G191" s="156"/>
      <c r="H191" s="156"/>
      <c r="I191" s="156"/>
      <c r="J191" s="156"/>
      <c r="K191" s="156"/>
      <c r="L191" s="156"/>
      <c r="M191" s="156"/>
      <c r="N191" s="156"/>
      <c r="O191" s="156"/>
      <c r="P191" s="156"/>
      <c r="Q191" s="157"/>
      <c r="R191" s="1"/>
      <c r="S191" s="1"/>
      <c r="T191" s="1"/>
      <c r="U191" s="1"/>
      <c r="V191" s="1"/>
      <c r="W191" s="1"/>
      <c r="X191" s="1"/>
      <c r="Y191" s="1"/>
      <c r="Z191" s="1"/>
      <c r="AA191" s="1"/>
      <c r="AB191" s="1"/>
      <c r="AC191" s="1"/>
      <c r="AD191" s="1"/>
      <c r="AE191" s="1"/>
    </row>
    <row r="192" spans="1:31" ht="25" x14ac:dyDescent="0.25">
      <c r="A192" s="1"/>
      <c r="B192" s="130" t="s">
        <v>142</v>
      </c>
      <c r="C192" s="52" t="s">
        <v>56</v>
      </c>
      <c r="D192" s="53" t="s">
        <v>25</v>
      </c>
      <c r="E192" s="54">
        <v>45691</v>
      </c>
      <c r="F192" s="55">
        <v>2</v>
      </c>
      <c r="G192" s="54">
        <v>45879</v>
      </c>
      <c r="H192" s="56"/>
      <c r="I192" s="57"/>
      <c r="J192" s="56"/>
      <c r="K192" s="57"/>
      <c r="L192" s="55">
        <v>1</v>
      </c>
      <c r="M192" s="55">
        <v>0</v>
      </c>
      <c r="N192" s="55" t="s">
        <v>37</v>
      </c>
      <c r="O192" s="52" t="s">
        <v>57</v>
      </c>
      <c r="P192" s="52" t="s">
        <v>39</v>
      </c>
      <c r="Q192" s="58" t="s">
        <v>58</v>
      </c>
      <c r="R192" s="1"/>
      <c r="S192" s="1"/>
      <c r="T192" s="1"/>
      <c r="U192" s="1"/>
      <c r="V192" s="1"/>
      <c r="W192" s="1"/>
      <c r="X192" s="1"/>
      <c r="Y192" s="1"/>
      <c r="Z192" s="1"/>
      <c r="AA192" s="1"/>
      <c r="AB192" s="1"/>
      <c r="AC192" s="1"/>
      <c r="AD192" s="1"/>
      <c r="AE192" s="1"/>
    </row>
    <row r="193" spans="1:31" ht="25" x14ac:dyDescent="0.25">
      <c r="A193" s="1"/>
      <c r="B193" s="128"/>
      <c r="C193" s="43" t="s">
        <v>59</v>
      </c>
      <c r="D193" s="44" t="s">
        <v>25</v>
      </c>
      <c r="E193" s="45">
        <v>45691</v>
      </c>
      <c r="F193" s="46">
        <v>2</v>
      </c>
      <c r="G193" s="45">
        <v>45879</v>
      </c>
      <c r="H193" s="47"/>
      <c r="I193" s="48"/>
      <c r="J193" s="47"/>
      <c r="K193" s="48"/>
      <c r="L193" s="46">
        <v>1</v>
      </c>
      <c r="M193" s="46">
        <v>0</v>
      </c>
      <c r="N193" s="46" t="s">
        <v>37</v>
      </c>
      <c r="O193" s="43" t="s">
        <v>60</v>
      </c>
      <c r="P193" s="43" t="s">
        <v>61</v>
      </c>
      <c r="Q193" s="49" t="s">
        <v>62</v>
      </c>
      <c r="R193" s="1"/>
      <c r="S193" s="1"/>
      <c r="T193" s="1"/>
      <c r="U193" s="1"/>
      <c r="V193" s="1"/>
      <c r="W193" s="1"/>
      <c r="X193" s="1"/>
      <c r="Y193" s="1"/>
      <c r="Z193" s="1"/>
      <c r="AA193" s="1"/>
      <c r="AB193" s="1"/>
      <c r="AC193" s="1"/>
      <c r="AD193" s="1"/>
      <c r="AE193" s="1"/>
    </row>
    <row r="194" spans="1:31" x14ac:dyDescent="0.25">
      <c r="A194" s="1"/>
      <c r="B194" s="128"/>
      <c r="C194" s="36" t="s">
        <v>63</v>
      </c>
      <c r="D194" s="37" t="s">
        <v>25</v>
      </c>
      <c r="E194" s="38">
        <v>45659</v>
      </c>
      <c r="F194" s="39">
        <v>1</v>
      </c>
      <c r="G194" s="38">
        <v>45816</v>
      </c>
      <c r="H194" s="40"/>
      <c r="I194" s="41"/>
      <c r="J194" s="40"/>
      <c r="K194" s="41"/>
      <c r="L194" s="39">
        <v>0</v>
      </c>
      <c r="M194" s="39" t="s">
        <v>25</v>
      </c>
      <c r="N194" s="39" t="s">
        <v>30</v>
      </c>
      <c r="O194" s="36" t="s">
        <v>64</v>
      </c>
      <c r="P194" s="36" t="s">
        <v>65</v>
      </c>
      <c r="Q194" s="42" t="s">
        <v>66</v>
      </c>
      <c r="R194" s="1"/>
      <c r="S194" s="1"/>
      <c r="T194" s="1"/>
      <c r="U194" s="1"/>
      <c r="V194" s="1"/>
      <c r="W194" s="1"/>
      <c r="X194" s="1"/>
      <c r="Y194" s="1"/>
      <c r="Z194" s="1"/>
      <c r="AA194" s="1"/>
      <c r="AB194" s="1"/>
      <c r="AC194" s="1"/>
      <c r="AD194" s="1"/>
      <c r="AE194" s="1"/>
    </row>
    <row r="195" spans="1:31" ht="25" x14ac:dyDescent="0.25">
      <c r="A195" s="1"/>
      <c r="B195" s="128"/>
      <c r="C195" s="43" t="s">
        <v>67</v>
      </c>
      <c r="D195" s="44" t="s">
        <v>25</v>
      </c>
      <c r="E195" s="45">
        <v>45692</v>
      </c>
      <c r="F195" s="46">
        <v>2</v>
      </c>
      <c r="G195" s="45">
        <v>45879</v>
      </c>
      <c r="H195" s="47"/>
      <c r="I195" s="48"/>
      <c r="J195" s="47"/>
      <c r="K195" s="48"/>
      <c r="L195" s="46">
        <v>1</v>
      </c>
      <c r="M195" s="46">
        <v>0</v>
      </c>
      <c r="N195" s="46" t="s">
        <v>26</v>
      </c>
      <c r="O195" s="43" t="s">
        <v>68</v>
      </c>
      <c r="P195" s="43" t="s">
        <v>69</v>
      </c>
      <c r="Q195" s="49" t="s">
        <v>70</v>
      </c>
      <c r="R195" s="1"/>
      <c r="S195" s="1"/>
      <c r="T195" s="1"/>
      <c r="U195" s="1"/>
      <c r="V195" s="1"/>
      <c r="W195" s="1"/>
      <c r="X195" s="1"/>
      <c r="Y195" s="1"/>
      <c r="Z195" s="1"/>
      <c r="AA195" s="1"/>
      <c r="AB195" s="1"/>
      <c r="AC195" s="1"/>
      <c r="AD195" s="1"/>
      <c r="AE195" s="1"/>
    </row>
    <row r="196" spans="1:31" ht="25" x14ac:dyDescent="0.25">
      <c r="A196" s="1"/>
      <c r="B196" s="128"/>
      <c r="C196" s="36" t="s">
        <v>71</v>
      </c>
      <c r="D196" s="37" t="s">
        <v>25</v>
      </c>
      <c r="E196" s="39" t="s">
        <v>32</v>
      </c>
      <c r="F196" s="39">
        <v>2</v>
      </c>
      <c r="G196" s="38">
        <v>45879</v>
      </c>
      <c r="H196" s="40"/>
      <c r="I196" s="41"/>
      <c r="J196" s="40"/>
      <c r="K196" s="41"/>
      <c r="L196" s="39">
        <v>0</v>
      </c>
      <c r="M196" s="39">
        <v>0</v>
      </c>
      <c r="N196" s="39" t="s">
        <v>30</v>
      </c>
      <c r="O196" s="36" t="s">
        <v>72</v>
      </c>
      <c r="P196" s="36" t="s">
        <v>34</v>
      </c>
      <c r="Q196" s="42" t="s">
        <v>73</v>
      </c>
      <c r="R196" s="1"/>
      <c r="S196" s="1"/>
      <c r="T196" s="1"/>
      <c r="U196" s="1"/>
      <c r="V196" s="1"/>
      <c r="W196" s="1"/>
      <c r="X196" s="1"/>
      <c r="Y196" s="1"/>
      <c r="Z196" s="1"/>
      <c r="AA196" s="1"/>
      <c r="AB196" s="1"/>
      <c r="AC196" s="1"/>
      <c r="AD196" s="1"/>
      <c r="AE196" s="1"/>
    </row>
    <row r="197" spans="1:31" ht="25" x14ac:dyDescent="0.25">
      <c r="A197" s="1"/>
      <c r="B197" s="128"/>
      <c r="C197" s="43" t="s">
        <v>74</v>
      </c>
      <c r="D197" s="44" t="s">
        <v>25</v>
      </c>
      <c r="E197" s="46" t="s">
        <v>32</v>
      </c>
      <c r="F197" s="46">
        <v>1</v>
      </c>
      <c r="G197" s="45">
        <v>45879</v>
      </c>
      <c r="H197" s="47"/>
      <c r="I197" s="48"/>
      <c r="J197" s="47"/>
      <c r="K197" s="48"/>
      <c r="L197" s="46">
        <v>0</v>
      </c>
      <c r="M197" s="46" t="s">
        <v>25</v>
      </c>
      <c r="N197" s="46" t="s">
        <v>30</v>
      </c>
      <c r="O197" s="43" t="s">
        <v>75</v>
      </c>
      <c r="P197" s="51" t="s">
        <v>76</v>
      </c>
      <c r="Q197" s="49" t="s">
        <v>77</v>
      </c>
      <c r="R197" s="1"/>
      <c r="S197" s="1"/>
      <c r="T197" s="1"/>
      <c r="U197" s="1"/>
      <c r="V197" s="1"/>
      <c r="W197" s="1"/>
      <c r="X197" s="1"/>
      <c r="Y197" s="1"/>
      <c r="Z197" s="1"/>
      <c r="AA197" s="1"/>
      <c r="AB197" s="1"/>
      <c r="AC197" s="1"/>
      <c r="AD197" s="1"/>
      <c r="AE197" s="1"/>
    </row>
    <row r="198" spans="1:31" ht="25" x14ac:dyDescent="0.25">
      <c r="A198" s="1"/>
      <c r="B198" s="128"/>
      <c r="C198" s="36" t="s">
        <v>78</v>
      </c>
      <c r="D198" s="37" t="s">
        <v>25</v>
      </c>
      <c r="E198" s="39" t="s">
        <v>32</v>
      </c>
      <c r="F198" s="39">
        <v>2</v>
      </c>
      <c r="G198" s="38">
        <v>45816</v>
      </c>
      <c r="H198" s="40"/>
      <c r="I198" s="41"/>
      <c r="J198" s="40"/>
      <c r="K198" s="41"/>
      <c r="L198" s="39">
        <v>0</v>
      </c>
      <c r="M198" s="39">
        <v>0</v>
      </c>
      <c r="N198" s="39" t="s">
        <v>30</v>
      </c>
      <c r="O198" s="50" t="s">
        <v>79</v>
      </c>
      <c r="P198" s="50" t="s">
        <v>80</v>
      </c>
      <c r="Q198" s="42" t="s">
        <v>81</v>
      </c>
      <c r="R198" s="1"/>
      <c r="S198" s="1"/>
      <c r="T198" s="1"/>
      <c r="U198" s="1"/>
      <c r="V198" s="1"/>
      <c r="W198" s="1"/>
      <c r="X198" s="1"/>
      <c r="Y198" s="1"/>
      <c r="Z198" s="1"/>
      <c r="AA198" s="1"/>
      <c r="AB198" s="1"/>
      <c r="AC198" s="1"/>
      <c r="AD198" s="1"/>
      <c r="AE198" s="1"/>
    </row>
    <row r="199" spans="1:31" ht="37.5" x14ac:dyDescent="0.25">
      <c r="A199" s="1"/>
      <c r="B199" s="130" t="s">
        <v>143</v>
      </c>
      <c r="C199" s="29" t="s">
        <v>48</v>
      </c>
      <c r="D199" s="30" t="s">
        <v>25</v>
      </c>
      <c r="E199" s="31">
        <v>45659</v>
      </c>
      <c r="F199" s="32">
        <v>2</v>
      </c>
      <c r="G199" s="31">
        <v>45879</v>
      </c>
      <c r="H199" s="33"/>
      <c r="I199" s="34"/>
      <c r="J199" s="33"/>
      <c r="K199" s="34"/>
      <c r="L199" s="32">
        <v>0</v>
      </c>
      <c r="M199" s="32">
        <v>0</v>
      </c>
      <c r="N199" s="32" t="s">
        <v>30</v>
      </c>
      <c r="O199" s="29" t="s">
        <v>49</v>
      </c>
      <c r="P199" s="29" t="s">
        <v>50</v>
      </c>
      <c r="Q199" s="35" t="s">
        <v>51</v>
      </c>
      <c r="R199" s="1"/>
      <c r="S199" s="1"/>
      <c r="T199" s="1"/>
      <c r="U199" s="1"/>
      <c r="V199" s="1"/>
      <c r="W199" s="1"/>
      <c r="X199" s="1"/>
      <c r="Y199" s="1"/>
      <c r="Z199" s="1"/>
      <c r="AA199" s="1"/>
      <c r="AB199" s="1"/>
      <c r="AC199" s="1"/>
      <c r="AD199" s="1"/>
      <c r="AE199" s="1"/>
    </row>
    <row r="200" spans="1:31" ht="37.5" x14ac:dyDescent="0.25">
      <c r="A200" s="1"/>
      <c r="B200" s="128"/>
      <c r="C200" s="36" t="s">
        <v>82</v>
      </c>
      <c r="D200" s="37" t="s">
        <v>25</v>
      </c>
      <c r="E200" s="38">
        <v>45691</v>
      </c>
      <c r="F200" s="39">
        <v>2</v>
      </c>
      <c r="G200" s="38">
        <v>45816</v>
      </c>
      <c r="H200" s="40"/>
      <c r="I200" s="41"/>
      <c r="J200" s="40"/>
      <c r="K200" s="41"/>
      <c r="L200" s="39">
        <v>2</v>
      </c>
      <c r="M200" s="39">
        <v>1</v>
      </c>
      <c r="N200" s="39" t="s">
        <v>37</v>
      </c>
      <c r="O200" s="36" t="s">
        <v>83</v>
      </c>
      <c r="P200" s="36" t="s">
        <v>84</v>
      </c>
      <c r="Q200" s="42" t="s">
        <v>85</v>
      </c>
      <c r="R200" s="1"/>
      <c r="S200" s="1"/>
      <c r="T200" s="1"/>
      <c r="U200" s="1"/>
      <c r="V200" s="1"/>
      <c r="W200" s="1"/>
      <c r="X200" s="1"/>
      <c r="Y200" s="1"/>
      <c r="Z200" s="1"/>
      <c r="AA200" s="1"/>
      <c r="AB200" s="1"/>
      <c r="AC200" s="1"/>
      <c r="AD200" s="1"/>
      <c r="AE200" s="1"/>
    </row>
    <row r="201" spans="1:31" x14ac:dyDescent="0.25">
      <c r="A201" s="1"/>
      <c r="B201" s="128"/>
      <c r="C201" s="43" t="s">
        <v>86</v>
      </c>
      <c r="D201" s="44" t="s">
        <v>25</v>
      </c>
      <c r="E201" s="45">
        <v>45692</v>
      </c>
      <c r="F201" s="46">
        <v>2</v>
      </c>
      <c r="G201" s="45">
        <v>45816</v>
      </c>
      <c r="H201" s="47"/>
      <c r="I201" s="48"/>
      <c r="J201" s="47"/>
      <c r="K201" s="48"/>
      <c r="L201" s="46">
        <v>1</v>
      </c>
      <c r="M201" s="46">
        <v>0</v>
      </c>
      <c r="N201" s="46" t="s">
        <v>37</v>
      </c>
      <c r="O201" s="43" t="s">
        <v>87</v>
      </c>
      <c r="P201" s="43" t="s">
        <v>88</v>
      </c>
      <c r="Q201" s="49" t="s">
        <v>89</v>
      </c>
      <c r="R201" s="1"/>
      <c r="S201" s="1"/>
      <c r="T201" s="1"/>
      <c r="U201" s="1"/>
      <c r="V201" s="1"/>
      <c r="W201" s="1"/>
      <c r="X201" s="1"/>
      <c r="Y201" s="1"/>
      <c r="Z201" s="1"/>
      <c r="AA201" s="1"/>
      <c r="AB201" s="1"/>
      <c r="AC201" s="1"/>
      <c r="AD201" s="1"/>
      <c r="AE201" s="1"/>
    </row>
    <row r="202" spans="1:31" ht="25" x14ac:dyDescent="0.25">
      <c r="A202" s="1"/>
      <c r="B202" s="128"/>
      <c r="C202" s="36" t="s">
        <v>90</v>
      </c>
      <c r="D202" s="37" t="s">
        <v>25</v>
      </c>
      <c r="E202" s="38">
        <v>45692</v>
      </c>
      <c r="F202" s="39">
        <v>1</v>
      </c>
      <c r="G202" s="38">
        <v>45816</v>
      </c>
      <c r="H202" s="40"/>
      <c r="I202" s="41"/>
      <c r="J202" s="40"/>
      <c r="K202" s="41"/>
      <c r="L202" s="39">
        <v>0</v>
      </c>
      <c r="M202" s="39" t="s">
        <v>25</v>
      </c>
      <c r="N202" s="39" t="s">
        <v>37</v>
      </c>
      <c r="O202" s="36" t="s">
        <v>91</v>
      </c>
      <c r="P202" s="36" t="s">
        <v>92</v>
      </c>
      <c r="Q202" s="42" t="s">
        <v>93</v>
      </c>
      <c r="R202" s="1"/>
      <c r="S202" s="1"/>
      <c r="T202" s="1"/>
      <c r="U202" s="1"/>
      <c r="V202" s="1"/>
      <c r="W202" s="1"/>
      <c r="X202" s="1"/>
      <c r="Y202" s="1"/>
      <c r="Z202" s="1"/>
      <c r="AA202" s="1"/>
      <c r="AB202" s="1"/>
      <c r="AC202" s="1"/>
      <c r="AD202" s="1"/>
      <c r="AE202" s="1"/>
    </row>
    <row r="203" spans="1:31" ht="37.5" x14ac:dyDescent="0.25">
      <c r="A203" s="1"/>
      <c r="B203" s="131"/>
      <c r="C203" s="64" t="s">
        <v>52</v>
      </c>
      <c r="D203" s="65" t="s">
        <v>25</v>
      </c>
      <c r="E203" s="66" t="s">
        <v>32</v>
      </c>
      <c r="F203" s="66">
        <v>2</v>
      </c>
      <c r="G203" s="69">
        <v>45879</v>
      </c>
      <c r="H203" s="67"/>
      <c r="I203" s="68"/>
      <c r="J203" s="67"/>
      <c r="K203" s="68"/>
      <c r="L203" s="66">
        <v>0</v>
      </c>
      <c r="M203" s="66">
        <v>0</v>
      </c>
      <c r="N203" s="66" t="s">
        <v>30</v>
      </c>
      <c r="O203" s="64" t="s">
        <v>53</v>
      </c>
      <c r="P203" s="64" t="s">
        <v>54</v>
      </c>
      <c r="Q203" s="70" t="s">
        <v>55</v>
      </c>
      <c r="R203" s="1"/>
      <c r="S203" s="1"/>
      <c r="T203" s="1"/>
      <c r="U203" s="1"/>
      <c r="V203" s="1"/>
      <c r="W203" s="1"/>
      <c r="X203" s="1"/>
      <c r="Y203" s="1"/>
      <c r="Z203" s="1"/>
      <c r="AA203" s="1"/>
      <c r="AB203" s="1"/>
      <c r="AC203" s="1"/>
      <c r="AD203" s="1"/>
      <c r="AE203" s="1"/>
    </row>
    <row r="204" spans="1:31" ht="37.5" x14ac:dyDescent="0.25">
      <c r="A204" s="1"/>
      <c r="B204" s="130" t="s">
        <v>94</v>
      </c>
      <c r="C204" s="36" t="s">
        <v>95</v>
      </c>
      <c r="D204" s="37" t="s">
        <v>25</v>
      </c>
      <c r="E204" s="39" t="s">
        <v>32</v>
      </c>
      <c r="F204" s="39">
        <v>2</v>
      </c>
      <c r="G204" s="38">
        <v>45816</v>
      </c>
      <c r="H204" s="40"/>
      <c r="I204" s="41"/>
      <c r="J204" s="40"/>
      <c r="K204" s="41"/>
      <c r="L204" s="39">
        <v>0</v>
      </c>
      <c r="M204" s="39">
        <v>0</v>
      </c>
      <c r="N204" s="39" t="s">
        <v>30</v>
      </c>
      <c r="O204" s="36" t="s">
        <v>96</v>
      </c>
      <c r="P204" s="36" t="s">
        <v>97</v>
      </c>
      <c r="Q204" s="42" t="s">
        <v>98</v>
      </c>
      <c r="R204" s="1"/>
      <c r="S204" s="1"/>
      <c r="T204" s="1"/>
      <c r="U204" s="1"/>
      <c r="V204" s="1"/>
      <c r="W204" s="1"/>
      <c r="X204" s="1"/>
      <c r="Y204" s="1"/>
      <c r="Z204" s="1"/>
      <c r="AA204" s="1"/>
      <c r="AB204" s="1"/>
      <c r="AC204" s="1"/>
      <c r="AD204" s="1"/>
      <c r="AE204" s="1"/>
    </row>
    <row r="205" spans="1:31" ht="25" x14ac:dyDescent="0.25">
      <c r="A205" s="1"/>
      <c r="B205" s="128"/>
      <c r="C205" s="43" t="s">
        <v>99</v>
      </c>
      <c r="D205" s="44" t="s">
        <v>25</v>
      </c>
      <c r="E205" s="46" t="s">
        <v>32</v>
      </c>
      <c r="F205" s="46">
        <v>2</v>
      </c>
      <c r="G205" s="45">
        <v>45879</v>
      </c>
      <c r="H205" s="47"/>
      <c r="I205" s="48"/>
      <c r="J205" s="47"/>
      <c r="K205" s="48"/>
      <c r="L205" s="46">
        <v>0</v>
      </c>
      <c r="M205" s="46">
        <v>0</v>
      </c>
      <c r="N205" s="46" t="s">
        <v>30</v>
      </c>
      <c r="O205" s="43" t="s">
        <v>100</v>
      </c>
      <c r="P205" s="43" t="s">
        <v>101</v>
      </c>
      <c r="Q205" s="49" t="s">
        <v>102</v>
      </c>
      <c r="R205" s="1"/>
      <c r="S205" s="1"/>
      <c r="T205" s="1"/>
      <c r="U205" s="1"/>
      <c r="V205" s="1"/>
      <c r="W205" s="1"/>
      <c r="X205" s="1"/>
      <c r="Y205" s="1"/>
      <c r="Z205" s="1"/>
      <c r="AA205" s="1"/>
      <c r="AB205" s="1"/>
      <c r="AC205" s="1"/>
      <c r="AD205" s="1"/>
      <c r="AE205" s="1"/>
    </row>
    <row r="206" spans="1:31" ht="25" x14ac:dyDescent="0.25">
      <c r="A206" s="1"/>
      <c r="B206" s="128"/>
      <c r="C206" s="36" t="s">
        <v>103</v>
      </c>
      <c r="D206" s="37" t="s">
        <v>25</v>
      </c>
      <c r="E206" s="39" t="s">
        <v>32</v>
      </c>
      <c r="F206" s="39">
        <v>1</v>
      </c>
      <c r="G206" s="38">
        <v>45879</v>
      </c>
      <c r="H206" s="40"/>
      <c r="I206" s="41"/>
      <c r="J206" s="40"/>
      <c r="K206" s="41"/>
      <c r="L206" s="39">
        <v>0</v>
      </c>
      <c r="M206" s="39" t="s">
        <v>25</v>
      </c>
      <c r="N206" s="39" t="s">
        <v>30</v>
      </c>
      <c r="O206" s="36" t="s">
        <v>104</v>
      </c>
      <c r="P206" s="36" t="s">
        <v>105</v>
      </c>
      <c r="Q206" s="42" t="s">
        <v>106</v>
      </c>
      <c r="R206" s="1"/>
      <c r="S206" s="1"/>
      <c r="T206" s="1"/>
      <c r="U206" s="1"/>
      <c r="V206" s="1"/>
      <c r="W206" s="1"/>
      <c r="X206" s="1"/>
      <c r="Y206" s="1"/>
      <c r="Z206" s="1"/>
      <c r="AA206" s="1"/>
      <c r="AB206" s="1"/>
      <c r="AC206" s="1"/>
      <c r="AD206" s="1"/>
      <c r="AE206" s="1"/>
    </row>
    <row r="207" spans="1:31" x14ac:dyDescent="0.25">
      <c r="A207" s="1"/>
      <c r="B207" s="128"/>
      <c r="C207" s="43" t="s">
        <v>107</v>
      </c>
      <c r="D207" s="44" t="s">
        <v>25</v>
      </c>
      <c r="E207" s="46" t="s">
        <v>32</v>
      </c>
      <c r="F207" s="46">
        <v>2</v>
      </c>
      <c r="G207" s="45">
        <v>45879</v>
      </c>
      <c r="H207" s="47"/>
      <c r="I207" s="48"/>
      <c r="J207" s="47"/>
      <c r="K207" s="48"/>
      <c r="L207" s="46">
        <v>0</v>
      </c>
      <c r="M207" s="46">
        <v>0</v>
      </c>
      <c r="N207" s="46" t="s">
        <v>30</v>
      </c>
      <c r="O207" s="43" t="s">
        <v>108</v>
      </c>
      <c r="P207" s="43" t="s">
        <v>109</v>
      </c>
      <c r="Q207" s="49" t="s">
        <v>110</v>
      </c>
      <c r="R207" s="1"/>
      <c r="S207" s="1"/>
      <c r="T207" s="1"/>
      <c r="U207" s="1"/>
      <c r="V207" s="1"/>
      <c r="W207" s="1"/>
      <c r="X207" s="1"/>
      <c r="Y207" s="1"/>
      <c r="Z207" s="1"/>
      <c r="AA207" s="1"/>
      <c r="AB207" s="1"/>
      <c r="AC207" s="1"/>
      <c r="AD207" s="1"/>
      <c r="AE207" s="1"/>
    </row>
    <row r="208" spans="1:31" x14ac:dyDescent="0.25">
      <c r="A208" s="1"/>
      <c r="B208" s="128"/>
      <c r="C208" s="36" t="s">
        <v>111</v>
      </c>
      <c r="D208" s="37" t="s">
        <v>25</v>
      </c>
      <c r="E208" s="39" t="s">
        <v>32</v>
      </c>
      <c r="F208" s="39">
        <v>2</v>
      </c>
      <c r="G208" s="38">
        <v>45879</v>
      </c>
      <c r="H208" s="40"/>
      <c r="I208" s="41"/>
      <c r="J208" s="40"/>
      <c r="K208" s="41"/>
      <c r="L208" s="39">
        <v>0</v>
      </c>
      <c r="M208" s="39">
        <v>0</v>
      </c>
      <c r="N208" s="39" t="s">
        <v>30</v>
      </c>
      <c r="O208" s="36" t="s">
        <v>112</v>
      </c>
      <c r="P208" s="37" t="s">
        <v>25</v>
      </c>
      <c r="Q208" s="42" t="s">
        <v>113</v>
      </c>
      <c r="R208" s="1"/>
      <c r="S208" s="1"/>
      <c r="T208" s="1"/>
      <c r="U208" s="1"/>
      <c r="V208" s="1"/>
      <c r="W208" s="1"/>
      <c r="X208" s="1"/>
      <c r="Y208" s="1"/>
      <c r="Z208" s="1"/>
      <c r="AA208" s="1"/>
      <c r="AB208" s="1"/>
      <c r="AC208" s="1"/>
      <c r="AD208" s="1"/>
      <c r="AE208" s="1"/>
    </row>
    <row r="209" spans="1:31" x14ac:dyDescent="0.25">
      <c r="A209" s="1"/>
      <c r="B209" s="128"/>
      <c r="C209" s="43" t="s">
        <v>114</v>
      </c>
      <c r="D209" s="44" t="s">
        <v>25</v>
      </c>
      <c r="E209" s="46" t="s">
        <v>32</v>
      </c>
      <c r="F209" s="46">
        <v>2</v>
      </c>
      <c r="G209" s="45">
        <v>45879</v>
      </c>
      <c r="H209" s="47"/>
      <c r="I209" s="48"/>
      <c r="J209" s="47"/>
      <c r="K209" s="48"/>
      <c r="L209" s="46">
        <v>0</v>
      </c>
      <c r="M209" s="46">
        <v>0</v>
      </c>
      <c r="N209" s="46" t="s">
        <v>30</v>
      </c>
      <c r="O209" s="43" t="s">
        <v>115</v>
      </c>
      <c r="P209" s="44" t="s">
        <v>25</v>
      </c>
      <c r="Q209" s="49" t="s">
        <v>113</v>
      </c>
      <c r="R209" s="1"/>
      <c r="S209" s="1"/>
      <c r="T209" s="1"/>
      <c r="U209" s="1"/>
      <c r="V209" s="1"/>
      <c r="W209" s="1"/>
      <c r="X209" s="1"/>
      <c r="Y209" s="1"/>
      <c r="Z209" s="1"/>
      <c r="AA209" s="1"/>
      <c r="AB209" s="1"/>
      <c r="AC209" s="1"/>
      <c r="AD209" s="1"/>
      <c r="AE209" s="1"/>
    </row>
    <row r="210" spans="1:31" x14ac:dyDescent="0.25">
      <c r="A210" s="1"/>
      <c r="B210" s="128"/>
      <c r="C210" s="36" t="s">
        <v>116</v>
      </c>
      <c r="D210" s="37" t="s">
        <v>25</v>
      </c>
      <c r="E210" s="39" t="s">
        <v>32</v>
      </c>
      <c r="F210" s="39">
        <v>1</v>
      </c>
      <c r="G210" s="38">
        <v>45816</v>
      </c>
      <c r="H210" s="40"/>
      <c r="I210" s="41"/>
      <c r="J210" s="40"/>
      <c r="K210" s="41"/>
      <c r="L210" s="39">
        <v>0</v>
      </c>
      <c r="M210" s="39" t="s">
        <v>25</v>
      </c>
      <c r="N210" s="39" t="s">
        <v>30</v>
      </c>
      <c r="O210" s="36" t="s">
        <v>117</v>
      </c>
      <c r="P210" s="36" t="s">
        <v>118</v>
      </c>
      <c r="Q210" s="42" t="s">
        <v>119</v>
      </c>
      <c r="R210" s="1"/>
      <c r="S210" s="1"/>
      <c r="T210" s="1"/>
      <c r="U210" s="1"/>
      <c r="V210" s="1"/>
      <c r="W210" s="1"/>
      <c r="X210" s="1"/>
      <c r="Y210" s="1"/>
      <c r="Z210" s="1"/>
      <c r="AA210" s="1"/>
      <c r="AB210" s="1"/>
      <c r="AC210" s="1"/>
      <c r="AD210" s="1"/>
      <c r="AE210" s="1"/>
    </row>
    <row r="211" spans="1:31" ht="25" x14ac:dyDescent="0.25">
      <c r="A211" s="1"/>
      <c r="B211" s="128"/>
      <c r="C211" s="43" t="s">
        <v>34</v>
      </c>
      <c r="D211" s="44" t="s">
        <v>25</v>
      </c>
      <c r="E211" s="46" t="s">
        <v>32</v>
      </c>
      <c r="F211" s="46">
        <v>2</v>
      </c>
      <c r="G211" s="45">
        <v>45879</v>
      </c>
      <c r="H211" s="47"/>
      <c r="I211" s="46"/>
      <c r="J211" s="47"/>
      <c r="K211" s="48"/>
      <c r="L211" s="46">
        <v>0</v>
      </c>
      <c r="M211" s="46">
        <v>0</v>
      </c>
      <c r="N211" s="46" t="s">
        <v>30</v>
      </c>
      <c r="O211" s="43" t="s">
        <v>71</v>
      </c>
      <c r="P211" s="43" t="s">
        <v>72</v>
      </c>
      <c r="Q211" s="49" t="s">
        <v>120</v>
      </c>
      <c r="R211" s="1"/>
      <c r="S211" s="1"/>
      <c r="T211" s="1"/>
      <c r="U211" s="1"/>
      <c r="V211" s="1"/>
      <c r="W211" s="1"/>
      <c r="X211" s="1"/>
      <c r="Y211" s="1"/>
      <c r="Z211" s="1"/>
      <c r="AA211" s="1"/>
      <c r="AB211" s="1"/>
      <c r="AC211" s="1"/>
      <c r="AD211" s="1"/>
      <c r="AE211" s="1"/>
    </row>
    <row r="212" spans="1:31" x14ac:dyDescent="0.25">
      <c r="A212" s="1"/>
      <c r="B212" s="131"/>
      <c r="C212" s="59" t="s">
        <v>121</v>
      </c>
      <c r="D212" s="60" t="s">
        <v>25</v>
      </c>
      <c r="E212" s="61" t="s">
        <v>32</v>
      </c>
      <c r="F212" s="61">
        <v>2</v>
      </c>
      <c r="G212" s="61" t="s">
        <v>25</v>
      </c>
      <c r="H212" s="62"/>
      <c r="I212" s="61"/>
      <c r="J212" s="62"/>
      <c r="K212" s="63"/>
      <c r="L212" s="61">
        <v>0</v>
      </c>
      <c r="M212" s="61">
        <v>0</v>
      </c>
      <c r="N212" s="61" t="s">
        <v>30</v>
      </c>
      <c r="O212" s="60" t="s">
        <v>25</v>
      </c>
      <c r="P212" s="60" t="s">
        <v>25</v>
      </c>
      <c r="Q212" s="71" t="s">
        <v>122</v>
      </c>
      <c r="R212" s="1"/>
      <c r="S212" s="1"/>
      <c r="T212" s="1"/>
      <c r="U212" s="1"/>
      <c r="V212" s="1"/>
      <c r="W212" s="1"/>
      <c r="X212" s="1"/>
      <c r="Y212" s="1"/>
      <c r="Z212" s="1"/>
      <c r="AA212" s="1"/>
      <c r="AB212" s="1"/>
      <c r="AC212" s="1"/>
      <c r="AD212" s="1"/>
      <c r="AE212" s="1"/>
    </row>
    <row r="213" spans="1:31" ht="13" x14ac:dyDescent="0.25">
      <c r="A213" s="1"/>
      <c r="B213" s="155" t="s">
        <v>141</v>
      </c>
      <c r="C213" s="156"/>
      <c r="D213" s="156"/>
      <c r="E213" s="156"/>
      <c r="F213" s="156"/>
      <c r="G213" s="156"/>
      <c r="H213" s="156"/>
      <c r="I213" s="156"/>
      <c r="J213" s="156"/>
      <c r="K213" s="156"/>
      <c r="L213" s="156"/>
      <c r="M213" s="156"/>
      <c r="N213" s="156"/>
      <c r="O213" s="156"/>
      <c r="P213" s="156"/>
      <c r="Q213" s="157"/>
      <c r="R213" s="1"/>
      <c r="S213" s="1"/>
      <c r="T213" s="1"/>
      <c r="U213" s="1"/>
      <c r="V213" s="1"/>
      <c r="W213" s="1"/>
      <c r="X213" s="1"/>
      <c r="Y213" s="1"/>
      <c r="Z213" s="1"/>
      <c r="AA213" s="1"/>
      <c r="AB213" s="1"/>
      <c r="AC213" s="1"/>
      <c r="AD213" s="1"/>
      <c r="AE213" s="1"/>
    </row>
    <row r="214" spans="1:31" x14ac:dyDescent="0.25">
      <c r="A214" s="1"/>
      <c r="B214" s="1"/>
      <c r="C214" s="5"/>
      <c r="D214" s="5"/>
      <c r="E214" s="1"/>
      <c r="F214" s="1"/>
      <c r="G214" s="1"/>
      <c r="H214" s="1"/>
      <c r="I214" s="1"/>
      <c r="J214" s="1"/>
      <c r="K214" s="1"/>
      <c r="L214" s="1"/>
      <c r="M214" s="1"/>
      <c r="N214" s="1"/>
      <c r="O214" s="5"/>
      <c r="P214" s="5"/>
      <c r="Q214" s="5"/>
      <c r="R214" s="1"/>
      <c r="S214" s="1"/>
      <c r="T214" s="1"/>
      <c r="U214" s="1"/>
      <c r="V214" s="1"/>
      <c r="W214" s="1"/>
      <c r="X214" s="1"/>
      <c r="Y214" s="1"/>
      <c r="Z214" s="1"/>
      <c r="AA214" s="1"/>
      <c r="AB214" s="1"/>
      <c r="AC214" s="1"/>
      <c r="AD214" s="1"/>
      <c r="AE214" s="1"/>
    </row>
    <row r="215" spans="1:31" x14ac:dyDescent="0.25">
      <c r="A215" s="1"/>
      <c r="B215" s="1"/>
      <c r="C215" s="5"/>
      <c r="D215" s="5"/>
      <c r="E215" s="1"/>
      <c r="F215" s="1"/>
      <c r="G215" s="1"/>
      <c r="H215" s="1"/>
      <c r="I215" s="1"/>
      <c r="J215" s="1"/>
      <c r="K215" s="1"/>
      <c r="L215" s="1"/>
      <c r="M215" s="1"/>
      <c r="N215" s="1"/>
      <c r="O215" s="5"/>
      <c r="P215" s="5"/>
      <c r="Q215" s="5"/>
      <c r="R215" s="1"/>
      <c r="S215" s="1"/>
      <c r="T215" s="1"/>
      <c r="U215" s="1"/>
      <c r="V215" s="1"/>
      <c r="W215" s="1"/>
      <c r="X215" s="1"/>
      <c r="Y215" s="1"/>
      <c r="Z215" s="1"/>
      <c r="AA215" s="1"/>
      <c r="AB215" s="1"/>
      <c r="AC215" s="1"/>
      <c r="AD215" s="1"/>
      <c r="AE215" s="1"/>
    </row>
    <row r="216" spans="1:31" ht="23" x14ac:dyDescent="0.25">
      <c r="A216" s="1"/>
      <c r="B216" s="164" t="s">
        <v>128</v>
      </c>
      <c r="C216" s="165"/>
      <c r="D216" s="165"/>
      <c r="E216" s="165"/>
      <c r="F216" s="165"/>
      <c r="G216" s="165"/>
      <c r="H216" s="165"/>
      <c r="I216" s="165"/>
      <c r="J216" s="165"/>
      <c r="K216" s="165"/>
      <c r="L216" s="165"/>
      <c r="M216" s="165"/>
      <c r="N216" s="165"/>
      <c r="O216" s="165"/>
      <c r="P216" s="165"/>
      <c r="Q216" s="147"/>
      <c r="R216" s="1"/>
      <c r="S216" s="1"/>
      <c r="T216" s="1"/>
      <c r="U216" s="1"/>
      <c r="V216" s="1"/>
      <c r="W216" s="1"/>
      <c r="X216" s="1"/>
      <c r="Y216" s="1"/>
      <c r="Z216" s="1"/>
      <c r="AA216" s="1"/>
      <c r="AB216" s="1"/>
      <c r="AC216" s="1"/>
      <c r="AD216" s="1"/>
      <c r="AE216" s="1"/>
    </row>
    <row r="217" spans="1:31" ht="23" x14ac:dyDescent="0.25">
      <c r="A217" s="1"/>
      <c r="B217" s="166" t="s">
        <v>129</v>
      </c>
      <c r="C217" s="165"/>
      <c r="D217" s="165"/>
      <c r="E217" s="165"/>
      <c r="F217" s="165"/>
      <c r="G217" s="165"/>
      <c r="H217" s="165"/>
      <c r="I217" s="165"/>
      <c r="J217" s="165"/>
      <c r="K217" s="165"/>
      <c r="L217" s="165"/>
      <c r="M217" s="165"/>
      <c r="N217" s="165"/>
      <c r="O217" s="165"/>
      <c r="P217" s="165"/>
      <c r="Q217" s="147"/>
      <c r="R217" s="1"/>
      <c r="S217" s="1"/>
      <c r="T217" s="1"/>
      <c r="U217" s="1"/>
      <c r="V217" s="1"/>
      <c r="W217" s="1"/>
      <c r="X217" s="1"/>
      <c r="Y217" s="1"/>
      <c r="Z217" s="1"/>
      <c r="AA217" s="1"/>
      <c r="AB217" s="1"/>
      <c r="AC217" s="1"/>
      <c r="AD217" s="1"/>
      <c r="AE217" s="1"/>
    </row>
    <row r="218" spans="1:31" x14ac:dyDescent="0.25">
      <c r="A218" s="1"/>
      <c r="B218" s="132" t="s">
        <v>130</v>
      </c>
      <c r="C218" s="135" t="s">
        <v>7</v>
      </c>
      <c r="D218" s="135" t="s">
        <v>8</v>
      </c>
      <c r="E218" s="135" t="s">
        <v>9</v>
      </c>
      <c r="F218" s="139" t="s">
        <v>10</v>
      </c>
      <c r="G218" s="142" t="s">
        <v>11</v>
      </c>
      <c r="H218" s="143" t="s">
        <v>12</v>
      </c>
      <c r="I218" s="144"/>
      <c r="J218" s="144"/>
      <c r="K218" s="145"/>
      <c r="L218" s="146" t="s">
        <v>13</v>
      </c>
      <c r="M218" s="147"/>
      <c r="N218" s="150" t="s">
        <v>14</v>
      </c>
      <c r="O218" s="138" t="s">
        <v>15</v>
      </c>
      <c r="P218" s="138" t="s">
        <v>16</v>
      </c>
      <c r="Q218" s="135" t="s">
        <v>17</v>
      </c>
      <c r="R218" s="1"/>
      <c r="S218" s="1"/>
      <c r="T218" s="1"/>
      <c r="U218" s="1"/>
      <c r="V218" s="1"/>
      <c r="W218" s="1"/>
      <c r="X218" s="1"/>
      <c r="Y218" s="1"/>
      <c r="Z218" s="1"/>
      <c r="AA218" s="1"/>
      <c r="AB218" s="1"/>
      <c r="AC218" s="1"/>
      <c r="AD218" s="1"/>
      <c r="AE218" s="1"/>
    </row>
    <row r="219" spans="1:31" x14ac:dyDescent="0.25">
      <c r="A219" s="1"/>
      <c r="B219" s="133"/>
      <c r="C219" s="136"/>
      <c r="D219" s="136"/>
      <c r="E219" s="136"/>
      <c r="F219" s="140"/>
      <c r="G219" s="128"/>
      <c r="H219" s="152" t="s">
        <v>18</v>
      </c>
      <c r="I219" s="153"/>
      <c r="J219" s="154" t="s">
        <v>19</v>
      </c>
      <c r="K219" s="153"/>
      <c r="L219" s="148"/>
      <c r="M219" s="149"/>
      <c r="N219" s="149"/>
      <c r="O219" s="136"/>
      <c r="P219" s="136"/>
      <c r="Q219" s="136"/>
      <c r="R219" s="1"/>
      <c r="S219" s="1"/>
      <c r="T219" s="1"/>
      <c r="U219" s="1"/>
      <c r="V219" s="1"/>
      <c r="W219" s="1"/>
      <c r="X219" s="1"/>
      <c r="Y219" s="1"/>
      <c r="Z219" s="1"/>
      <c r="AA219" s="1"/>
      <c r="AB219" s="1"/>
      <c r="AC219" s="1"/>
      <c r="AD219" s="1"/>
      <c r="AE219" s="1"/>
    </row>
    <row r="220" spans="1:31" ht="13" x14ac:dyDescent="0.25">
      <c r="A220" s="1"/>
      <c r="B220" s="134"/>
      <c r="C220" s="137"/>
      <c r="D220" s="137"/>
      <c r="E220" s="137"/>
      <c r="F220" s="141"/>
      <c r="G220" s="128"/>
      <c r="H220" s="9" t="s">
        <v>20</v>
      </c>
      <c r="I220" s="10" t="s">
        <v>21</v>
      </c>
      <c r="J220" s="11" t="s">
        <v>20</v>
      </c>
      <c r="K220" s="10" t="s">
        <v>21</v>
      </c>
      <c r="L220" s="12" t="s">
        <v>22</v>
      </c>
      <c r="M220" s="12" t="s">
        <v>23</v>
      </c>
      <c r="N220" s="151"/>
      <c r="O220" s="137"/>
      <c r="P220" s="137"/>
      <c r="Q220" s="137"/>
      <c r="R220" s="1"/>
      <c r="S220" s="1"/>
      <c r="T220" s="1"/>
      <c r="U220" s="1"/>
      <c r="V220" s="1"/>
      <c r="W220" s="1"/>
      <c r="X220" s="1"/>
      <c r="Y220" s="1"/>
      <c r="Z220" s="1"/>
      <c r="AA220" s="1"/>
      <c r="AB220" s="1"/>
      <c r="AC220" s="1"/>
      <c r="AD220" s="1"/>
      <c r="AE220" s="1"/>
    </row>
    <row r="221" spans="1:31" ht="25" x14ac:dyDescent="0.25">
      <c r="A221" s="1"/>
      <c r="B221" s="127" t="s">
        <v>140</v>
      </c>
      <c r="C221" s="13" t="s">
        <v>41</v>
      </c>
      <c r="D221" s="14" t="s">
        <v>25</v>
      </c>
      <c r="E221" s="15">
        <v>45659</v>
      </c>
      <c r="F221" s="14">
        <v>2</v>
      </c>
      <c r="G221" s="15">
        <v>45816</v>
      </c>
      <c r="H221" s="16"/>
      <c r="I221" s="17"/>
      <c r="J221" s="18"/>
      <c r="K221" s="17"/>
      <c r="L221" s="14">
        <v>1</v>
      </c>
      <c r="M221" s="14">
        <v>0</v>
      </c>
      <c r="N221" s="14" t="s">
        <v>30</v>
      </c>
      <c r="O221" s="13" t="s">
        <v>42</v>
      </c>
      <c r="P221" s="13" t="s">
        <v>43</v>
      </c>
      <c r="Q221" s="19" t="s">
        <v>44</v>
      </c>
      <c r="R221" s="1"/>
      <c r="S221" s="1"/>
      <c r="T221" s="1"/>
      <c r="U221" s="1"/>
      <c r="V221" s="1"/>
      <c r="W221" s="1"/>
      <c r="X221" s="1"/>
      <c r="Y221" s="1"/>
      <c r="Z221" s="1"/>
      <c r="AA221" s="1"/>
      <c r="AB221" s="1"/>
      <c r="AC221" s="1"/>
      <c r="AD221" s="1"/>
      <c r="AE221" s="1"/>
    </row>
    <row r="222" spans="1:31" ht="25" x14ac:dyDescent="0.25">
      <c r="A222" s="1"/>
      <c r="B222" s="128"/>
      <c r="C222" s="90" t="s">
        <v>45</v>
      </c>
      <c r="D222" s="21" t="s">
        <v>25</v>
      </c>
      <c r="E222" s="22">
        <v>45692</v>
      </c>
      <c r="F222" s="21">
        <v>2</v>
      </c>
      <c r="G222" s="22">
        <v>45816</v>
      </c>
      <c r="H222" s="23"/>
      <c r="I222" s="24"/>
      <c r="J222" s="25"/>
      <c r="K222" s="24"/>
      <c r="L222" s="21">
        <v>3</v>
      </c>
      <c r="M222" s="21">
        <v>2</v>
      </c>
      <c r="N222" s="21" t="s">
        <v>26</v>
      </c>
      <c r="O222" s="21" t="s">
        <v>46</v>
      </c>
      <c r="P222" s="21" t="s">
        <v>46</v>
      </c>
      <c r="Q222" s="26" t="s">
        <v>47</v>
      </c>
      <c r="R222" s="1"/>
      <c r="S222" s="1"/>
      <c r="T222" s="1"/>
      <c r="U222" s="1"/>
      <c r="V222" s="1"/>
      <c r="W222" s="1"/>
      <c r="X222" s="1"/>
      <c r="Y222" s="1"/>
      <c r="Z222" s="1"/>
      <c r="AA222" s="1"/>
      <c r="AB222" s="1"/>
      <c r="AC222" s="1"/>
      <c r="AD222" s="1"/>
      <c r="AE222" s="1"/>
    </row>
    <row r="223" spans="1:31" ht="25" x14ac:dyDescent="0.25">
      <c r="A223" s="1"/>
      <c r="B223" s="128"/>
      <c r="C223" s="20" t="s">
        <v>24</v>
      </c>
      <c r="D223" s="21" t="s">
        <v>25</v>
      </c>
      <c r="E223" s="22">
        <v>45692</v>
      </c>
      <c r="F223" s="21">
        <v>2</v>
      </c>
      <c r="G223" s="22">
        <v>45816</v>
      </c>
      <c r="H223" s="23"/>
      <c r="I223" s="24"/>
      <c r="J223" s="25"/>
      <c r="K223" s="24"/>
      <c r="L223" s="21">
        <v>2</v>
      </c>
      <c r="M223" s="21">
        <v>1</v>
      </c>
      <c r="N223" s="21" t="s">
        <v>26</v>
      </c>
      <c r="O223" s="20" t="s">
        <v>27</v>
      </c>
      <c r="P223" s="20" t="s">
        <v>28</v>
      </c>
      <c r="Q223" s="26" t="s">
        <v>29</v>
      </c>
      <c r="R223" s="1"/>
      <c r="S223" s="1"/>
      <c r="T223" s="1"/>
      <c r="U223" s="1"/>
      <c r="V223" s="1"/>
      <c r="W223" s="1"/>
      <c r="X223" s="1"/>
      <c r="Y223" s="1"/>
      <c r="Z223" s="1"/>
      <c r="AA223" s="1"/>
      <c r="AB223" s="1"/>
      <c r="AC223" s="1"/>
      <c r="AD223" s="1"/>
      <c r="AE223" s="1"/>
    </row>
    <row r="224" spans="1:31" ht="25" x14ac:dyDescent="0.25">
      <c r="A224" s="1"/>
      <c r="B224" s="128"/>
      <c r="C224" s="20" t="s">
        <v>31</v>
      </c>
      <c r="D224" s="21" t="s">
        <v>25</v>
      </c>
      <c r="E224" s="21" t="s">
        <v>32</v>
      </c>
      <c r="F224" s="21">
        <v>1</v>
      </c>
      <c r="G224" s="22">
        <v>45879</v>
      </c>
      <c r="H224" s="23"/>
      <c r="I224" s="24"/>
      <c r="J224" s="25"/>
      <c r="K224" s="24"/>
      <c r="L224" s="21">
        <v>0</v>
      </c>
      <c r="M224" s="21" t="s">
        <v>25</v>
      </c>
      <c r="N224" s="21" t="s">
        <v>30</v>
      </c>
      <c r="O224" s="20" t="s">
        <v>33</v>
      </c>
      <c r="P224" s="20" t="s">
        <v>34</v>
      </c>
      <c r="Q224" s="26" t="s">
        <v>35</v>
      </c>
      <c r="R224" s="1"/>
      <c r="S224" s="1"/>
      <c r="T224" s="1"/>
      <c r="U224" s="1"/>
      <c r="V224" s="1"/>
      <c r="W224" s="1"/>
      <c r="X224" s="1"/>
      <c r="Y224" s="1"/>
      <c r="Z224" s="1"/>
      <c r="AA224" s="1"/>
      <c r="AB224" s="1"/>
      <c r="AC224" s="1"/>
      <c r="AD224" s="1"/>
      <c r="AE224" s="1"/>
    </row>
    <row r="225" spans="1:31" ht="25" x14ac:dyDescent="0.25">
      <c r="A225" s="1"/>
      <c r="B225" s="128"/>
      <c r="C225" s="20" t="s">
        <v>36</v>
      </c>
      <c r="D225" s="21" t="s">
        <v>25</v>
      </c>
      <c r="E225" s="22">
        <v>45659</v>
      </c>
      <c r="F225" s="21">
        <v>2</v>
      </c>
      <c r="G225" s="22">
        <v>45816</v>
      </c>
      <c r="H225" s="23"/>
      <c r="I225" s="24"/>
      <c r="J225" s="25"/>
      <c r="K225" s="24"/>
      <c r="L225" s="21">
        <v>2</v>
      </c>
      <c r="M225" s="21">
        <v>1</v>
      </c>
      <c r="N225" s="21" t="s">
        <v>37</v>
      </c>
      <c r="O225" s="20" t="s">
        <v>38</v>
      </c>
      <c r="P225" s="20" t="s">
        <v>39</v>
      </c>
      <c r="Q225" s="26" t="s">
        <v>40</v>
      </c>
      <c r="R225" s="1"/>
      <c r="S225" s="1"/>
      <c r="T225" s="1"/>
      <c r="U225" s="1"/>
      <c r="V225" s="1"/>
      <c r="W225" s="1"/>
      <c r="X225" s="1"/>
      <c r="Y225" s="1"/>
      <c r="Z225" s="1"/>
      <c r="AA225" s="1"/>
      <c r="AB225" s="1"/>
      <c r="AC225" s="1"/>
      <c r="AD225" s="1"/>
      <c r="AE225" s="1"/>
    </row>
    <row r="226" spans="1:31" ht="37.5" x14ac:dyDescent="0.25">
      <c r="A226" s="1"/>
      <c r="B226" s="129"/>
      <c r="C226" s="20" t="s">
        <v>52</v>
      </c>
      <c r="D226" s="21" t="s">
        <v>25</v>
      </c>
      <c r="E226" s="21" t="s">
        <v>32</v>
      </c>
      <c r="F226" s="21">
        <v>1</v>
      </c>
      <c r="G226" s="22">
        <v>45816</v>
      </c>
      <c r="H226" s="23"/>
      <c r="I226" s="24"/>
      <c r="J226" s="25"/>
      <c r="K226" s="24"/>
      <c r="L226" s="21">
        <v>0</v>
      </c>
      <c r="M226" s="21" t="s">
        <v>25</v>
      </c>
      <c r="N226" s="21" t="s">
        <v>30</v>
      </c>
      <c r="O226" s="20" t="s">
        <v>53</v>
      </c>
      <c r="P226" s="20" t="s">
        <v>54</v>
      </c>
      <c r="Q226" s="26" t="s">
        <v>55</v>
      </c>
      <c r="R226" s="1"/>
      <c r="S226" s="1"/>
      <c r="T226" s="1"/>
      <c r="U226" s="1"/>
      <c r="V226" s="1"/>
      <c r="W226" s="1"/>
      <c r="X226" s="1"/>
      <c r="Y226" s="1"/>
      <c r="Z226" s="1"/>
      <c r="AA226" s="1"/>
      <c r="AB226" s="1"/>
      <c r="AC226" s="1"/>
      <c r="AD226" s="1"/>
      <c r="AE226" s="1"/>
    </row>
    <row r="227" spans="1:31" ht="13" x14ac:dyDescent="0.25">
      <c r="A227" s="1"/>
      <c r="B227" s="155" t="s">
        <v>141</v>
      </c>
      <c r="C227" s="156"/>
      <c r="D227" s="156"/>
      <c r="E227" s="156"/>
      <c r="F227" s="156"/>
      <c r="G227" s="156"/>
      <c r="H227" s="156"/>
      <c r="I227" s="156"/>
      <c r="J227" s="156"/>
      <c r="K227" s="156"/>
      <c r="L227" s="156"/>
      <c r="M227" s="156"/>
      <c r="N227" s="156"/>
      <c r="O227" s="156"/>
      <c r="P227" s="156"/>
      <c r="Q227" s="157"/>
      <c r="R227" s="1"/>
      <c r="S227" s="1"/>
      <c r="T227" s="1"/>
      <c r="U227" s="1"/>
      <c r="V227" s="1"/>
      <c r="W227" s="1"/>
      <c r="X227" s="1"/>
      <c r="Y227" s="1"/>
      <c r="Z227" s="1"/>
      <c r="AA227" s="1"/>
      <c r="AB227" s="1"/>
      <c r="AC227" s="1"/>
      <c r="AD227" s="1"/>
      <c r="AE227" s="1"/>
    </row>
    <row r="228" spans="1:31" ht="25" x14ac:dyDescent="0.25">
      <c r="A228" s="1"/>
      <c r="B228" s="130" t="s">
        <v>142</v>
      </c>
      <c r="C228" s="52" t="s">
        <v>56</v>
      </c>
      <c r="D228" s="53" t="s">
        <v>25</v>
      </c>
      <c r="E228" s="54">
        <v>45691</v>
      </c>
      <c r="F228" s="55">
        <v>2</v>
      </c>
      <c r="G228" s="54">
        <v>45879</v>
      </c>
      <c r="H228" s="56"/>
      <c r="I228" s="57"/>
      <c r="J228" s="56"/>
      <c r="K228" s="57"/>
      <c r="L228" s="55">
        <v>2</v>
      </c>
      <c r="M228" s="55">
        <v>1</v>
      </c>
      <c r="N228" s="55" t="s">
        <v>37</v>
      </c>
      <c r="O228" s="52" t="s">
        <v>57</v>
      </c>
      <c r="P228" s="52" t="s">
        <v>39</v>
      </c>
      <c r="Q228" s="58" t="s">
        <v>58</v>
      </c>
      <c r="R228" s="1"/>
      <c r="S228" s="1"/>
      <c r="T228" s="1"/>
      <c r="U228" s="1"/>
      <c r="V228" s="1"/>
      <c r="W228" s="1"/>
      <c r="X228" s="1"/>
      <c r="Y228" s="1"/>
      <c r="Z228" s="1"/>
      <c r="AA228" s="1"/>
      <c r="AB228" s="1"/>
      <c r="AC228" s="1"/>
      <c r="AD228" s="1"/>
      <c r="AE228" s="1"/>
    </row>
    <row r="229" spans="1:31" ht="25" x14ac:dyDescent="0.25">
      <c r="A229" s="1"/>
      <c r="B229" s="128"/>
      <c r="C229" s="43" t="s">
        <v>59</v>
      </c>
      <c r="D229" s="44" t="s">
        <v>25</v>
      </c>
      <c r="E229" s="45">
        <v>45691</v>
      </c>
      <c r="F229" s="46">
        <v>2</v>
      </c>
      <c r="G229" s="45">
        <v>45879</v>
      </c>
      <c r="H229" s="47"/>
      <c r="I229" s="48"/>
      <c r="J229" s="47"/>
      <c r="K229" s="48"/>
      <c r="L229" s="46">
        <v>2</v>
      </c>
      <c r="M229" s="46">
        <v>1</v>
      </c>
      <c r="N229" s="46" t="s">
        <v>37</v>
      </c>
      <c r="O229" s="43" t="s">
        <v>60</v>
      </c>
      <c r="P229" s="43" t="s">
        <v>61</v>
      </c>
      <c r="Q229" s="49" t="s">
        <v>62</v>
      </c>
      <c r="R229" s="1"/>
      <c r="S229" s="1"/>
      <c r="T229" s="1"/>
      <c r="U229" s="1"/>
      <c r="V229" s="1"/>
      <c r="W229" s="1"/>
      <c r="X229" s="1"/>
      <c r="Y229" s="1"/>
      <c r="Z229" s="1"/>
      <c r="AA229" s="1"/>
      <c r="AB229" s="1"/>
      <c r="AC229" s="1"/>
      <c r="AD229" s="1"/>
      <c r="AE229" s="1"/>
    </row>
    <row r="230" spans="1:31" x14ac:dyDescent="0.25">
      <c r="A230" s="1"/>
      <c r="B230" s="128"/>
      <c r="C230" s="36" t="s">
        <v>63</v>
      </c>
      <c r="D230" s="37" t="s">
        <v>25</v>
      </c>
      <c r="E230" s="38">
        <v>45659</v>
      </c>
      <c r="F230" s="39">
        <v>1</v>
      </c>
      <c r="G230" s="38">
        <v>45816</v>
      </c>
      <c r="H230" s="40"/>
      <c r="I230" s="41"/>
      <c r="J230" s="40"/>
      <c r="K230" s="41"/>
      <c r="L230" s="39">
        <v>1</v>
      </c>
      <c r="M230" s="39" t="s">
        <v>25</v>
      </c>
      <c r="N230" s="39" t="s">
        <v>30</v>
      </c>
      <c r="O230" s="36" t="s">
        <v>64</v>
      </c>
      <c r="P230" s="36" t="s">
        <v>65</v>
      </c>
      <c r="Q230" s="42" t="s">
        <v>66</v>
      </c>
      <c r="R230" s="1"/>
      <c r="S230" s="1"/>
      <c r="T230" s="1"/>
      <c r="U230" s="1"/>
      <c r="V230" s="1"/>
      <c r="W230" s="1"/>
      <c r="X230" s="1"/>
      <c r="Y230" s="1"/>
      <c r="Z230" s="1"/>
      <c r="AA230" s="1"/>
      <c r="AB230" s="1"/>
      <c r="AC230" s="1"/>
      <c r="AD230" s="1"/>
      <c r="AE230" s="1"/>
    </row>
    <row r="231" spans="1:31" ht="25" x14ac:dyDescent="0.25">
      <c r="A231" s="1"/>
      <c r="B231" s="128"/>
      <c r="C231" s="43" t="s">
        <v>67</v>
      </c>
      <c r="D231" s="44" t="s">
        <v>25</v>
      </c>
      <c r="E231" s="45">
        <v>45692</v>
      </c>
      <c r="F231" s="46">
        <v>2</v>
      </c>
      <c r="G231" s="45">
        <v>45879</v>
      </c>
      <c r="H231" s="47"/>
      <c r="I231" s="48"/>
      <c r="J231" s="47"/>
      <c r="K231" s="48"/>
      <c r="L231" s="46">
        <v>2</v>
      </c>
      <c r="M231" s="46">
        <v>1</v>
      </c>
      <c r="N231" s="46" t="s">
        <v>26</v>
      </c>
      <c r="O231" s="43" t="s">
        <v>68</v>
      </c>
      <c r="P231" s="43" t="s">
        <v>69</v>
      </c>
      <c r="Q231" s="49" t="s">
        <v>70</v>
      </c>
      <c r="R231" s="1"/>
      <c r="S231" s="1"/>
      <c r="T231" s="1"/>
      <c r="U231" s="1"/>
      <c r="V231" s="1"/>
      <c r="W231" s="1"/>
      <c r="X231" s="1"/>
      <c r="Y231" s="1"/>
      <c r="Z231" s="1"/>
      <c r="AA231" s="1"/>
      <c r="AB231" s="1"/>
      <c r="AC231" s="1"/>
      <c r="AD231" s="1"/>
      <c r="AE231" s="1"/>
    </row>
    <row r="232" spans="1:31" ht="25" x14ac:dyDescent="0.25">
      <c r="A232" s="1"/>
      <c r="B232" s="128"/>
      <c r="C232" s="36" t="s">
        <v>71</v>
      </c>
      <c r="D232" s="37" t="s">
        <v>25</v>
      </c>
      <c r="E232" s="39" t="s">
        <v>32</v>
      </c>
      <c r="F232" s="39">
        <v>2</v>
      </c>
      <c r="G232" s="38">
        <v>45879</v>
      </c>
      <c r="H232" s="40"/>
      <c r="I232" s="41"/>
      <c r="J232" s="40"/>
      <c r="K232" s="41"/>
      <c r="L232" s="39">
        <v>1</v>
      </c>
      <c r="M232" s="39">
        <v>0</v>
      </c>
      <c r="N232" s="39" t="s">
        <v>30</v>
      </c>
      <c r="O232" s="36" t="s">
        <v>72</v>
      </c>
      <c r="P232" s="36" t="s">
        <v>34</v>
      </c>
      <c r="Q232" s="42" t="s">
        <v>73</v>
      </c>
      <c r="R232" s="1"/>
      <c r="S232" s="1"/>
      <c r="T232" s="1"/>
      <c r="U232" s="1"/>
      <c r="V232" s="1"/>
      <c r="W232" s="1"/>
      <c r="X232" s="1"/>
      <c r="Y232" s="1"/>
      <c r="Z232" s="1"/>
      <c r="AA232" s="1"/>
      <c r="AB232" s="1"/>
      <c r="AC232" s="1"/>
      <c r="AD232" s="1"/>
      <c r="AE232" s="1"/>
    </row>
    <row r="233" spans="1:31" ht="25" x14ac:dyDescent="0.25">
      <c r="A233" s="1"/>
      <c r="B233" s="128"/>
      <c r="C233" s="43" t="s">
        <v>74</v>
      </c>
      <c r="D233" s="44" t="s">
        <v>25</v>
      </c>
      <c r="E233" s="46" t="s">
        <v>32</v>
      </c>
      <c r="F233" s="46">
        <v>1</v>
      </c>
      <c r="G233" s="45">
        <v>45879</v>
      </c>
      <c r="H233" s="47"/>
      <c r="I233" s="48"/>
      <c r="J233" s="47"/>
      <c r="K233" s="48"/>
      <c r="L233" s="46">
        <v>0</v>
      </c>
      <c r="M233" s="46" t="s">
        <v>25</v>
      </c>
      <c r="N233" s="46" t="s">
        <v>30</v>
      </c>
      <c r="O233" s="43" t="s">
        <v>75</v>
      </c>
      <c r="P233" s="51" t="s">
        <v>76</v>
      </c>
      <c r="Q233" s="49" t="s">
        <v>77</v>
      </c>
      <c r="R233" s="1"/>
      <c r="S233" s="1"/>
      <c r="T233" s="1"/>
      <c r="U233" s="1"/>
      <c r="V233" s="1"/>
      <c r="W233" s="1"/>
      <c r="X233" s="1"/>
      <c r="Y233" s="1"/>
      <c r="Z233" s="1"/>
      <c r="AA233" s="1"/>
      <c r="AB233" s="1"/>
      <c r="AC233" s="1"/>
      <c r="AD233" s="1"/>
      <c r="AE233" s="1"/>
    </row>
    <row r="234" spans="1:31" ht="25" x14ac:dyDescent="0.25">
      <c r="A234" s="1"/>
      <c r="B234" s="128"/>
      <c r="C234" s="36" t="s">
        <v>78</v>
      </c>
      <c r="D234" s="37" t="s">
        <v>25</v>
      </c>
      <c r="E234" s="39" t="s">
        <v>32</v>
      </c>
      <c r="F234" s="39">
        <v>2</v>
      </c>
      <c r="G234" s="38">
        <v>45816</v>
      </c>
      <c r="H234" s="40"/>
      <c r="I234" s="41"/>
      <c r="J234" s="40"/>
      <c r="K234" s="41"/>
      <c r="L234" s="39">
        <v>1</v>
      </c>
      <c r="M234" s="39">
        <v>0</v>
      </c>
      <c r="N234" s="39" t="s">
        <v>30</v>
      </c>
      <c r="O234" s="50" t="s">
        <v>79</v>
      </c>
      <c r="P234" s="50" t="s">
        <v>80</v>
      </c>
      <c r="Q234" s="42" t="s">
        <v>81</v>
      </c>
      <c r="R234" s="1"/>
      <c r="S234" s="1"/>
      <c r="T234" s="1"/>
      <c r="U234" s="1"/>
      <c r="V234" s="1"/>
      <c r="W234" s="1"/>
      <c r="X234" s="1"/>
      <c r="Y234" s="1"/>
      <c r="Z234" s="1"/>
      <c r="AA234" s="1"/>
      <c r="AB234" s="1"/>
      <c r="AC234" s="1"/>
      <c r="AD234" s="1"/>
      <c r="AE234" s="1"/>
    </row>
    <row r="235" spans="1:31" ht="37.5" x14ac:dyDescent="0.25">
      <c r="A235" s="1"/>
      <c r="B235" s="130" t="s">
        <v>143</v>
      </c>
      <c r="C235" s="29" t="s">
        <v>48</v>
      </c>
      <c r="D235" s="30" t="s">
        <v>25</v>
      </c>
      <c r="E235" s="31">
        <v>45659</v>
      </c>
      <c r="F235" s="32">
        <v>2</v>
      </c>
      <c r="G235" s="31">
        <v>45879</v>
      </c>
      <c r="H235" s="33"/>
      <c r="I235" s="34"/>
      <c r="J235" s="33"/>
      <c r="K235" s="34"/>
      <c r="L235" s="32">
        <v>1</v>
      </c>
      <c r="M235" s="32">
        <v>0</v>
      </c>
      <c r="N235" s="32" t="s">
        <v>30</v>
      </c>
      <c r="O235" s="29" t="s">
        <v>49</v>
      </c>
      <c r="P235" s="29" t="s">
        <v>50</v>
      </c>
      <c r="Q235" s="35" t="s">
        <v>51</v>
      </c>
      <c r="R235" s="1"/>
      <c r="S235" s="1"/>
      <c r="T235" s="1"/>
      <c r="U235" s="1"/>
      <c r="V235" s="1"/>
      <c r="W235" s="1"/>
      <c r="X235" s="1"/>
      <c r="Y235" s="1"/>
      <c r="Z235" s="1"/>
      <c r="AA235" s="1"/>
      <c r="AB235" s="1"/>
      <c r="AC235" s="1"/>
      <c r="AD235" s="1"/>
      <c r="AE235" s="1"/>
    </row>
    <row r="236" spans="1:31" ht="37.5" x14ac:dyDescent="0.25">
      <c r="A236" s="1"/>
      <c r="B236" s="128"/>
      <c r="C236" s="36" t="s">
        <v>82</v>
      </c>
      <c r="D236" s="37" t="s">
        <v>25</v>
      </c>
      <c r="E236" s="38">
        <v>45691</v>
      </c>
      <c r="F236" s="39">
        <v>2</v>
      </c>
      <c r="G236" s="38">
        <v>45816</v>
      </c>
      <c r="H236" s="40"/>
      <c r="I236" s="41"/>
      <c r="J236" s="40"/>
      <c r="K236" s="41"/>
      <c r="L236" s="39">
        <v>3</v>
      </c>
      <c r="M236" s="39">
        <v>2</v>
      </c>
      <c r="N236" s="39" t="s">
        <v>37</v>
      </c>
      <c r="O236" s="36" t="s">
        <v>83</v>
      </c>
      <c r="P236" s="36" t="s">
        <v>84</v>
      </c>
      <c r="Q236" s="42" t="s">
        <v>85</v>
      </c>
      <c r="R236" s="1"/>
      <c r="S236" s="1"/>
      <c r="T236" s="1"/>
      <c r="U236" s="1"/>
      <c r="V236" s="1"/>
      <c r="W236" s="1"/>
      <c r="X236" s="1"/>
      <c r="Y236" s="1"/>
      <c r="Z236" s="1"/>
      <c r="AA236" s="1"/>
      <c r="AB236" s="1"/>
      <c r="AC236" s="1"/>
      <c r="AD236" s="1"/>
      <c r="AE236" s="1"/>
    </row>
    <row r="237" spans="1:31" x14ac:dyDescent="0.25">
      <c r="A237" s="1"/>
      <c r="B237" s="128"/>
      <c r="C237" s="43" t="s">
        <v>86</v>
      </c>
      <c r="D237" s="44" t="s">
        <v>25</v>
      </c>
      <c r="E237" s="45">
        <v>45692</v>
      </c>
      <c r="F237" s="46">
        <v>2</v>
      </c>
      <c r="G237" s="45">
        <v>45816</v>
      </c>
      <c r="H237" s="47"/>
      <c r="I237" s="48"/>
      <c r="J237" s="47"/>
      <c r="K237" s="48"/>
      <c r="L237" s="46">
        <v>2</v>
      </c>
      <c r="M237" s="46">
        <v>1</v>
      </c>
      <c r="N237" s="46" t="s">
        <v>37</v>
      </c>
      <c r="O237" s="43" t="s">
        <v>87</v>
      </c>
      <c r="P237" s="43" t="s">
        <v>88</v>
      </c>
      <c r="Q237" s="49" t="s">
        <v>89</v>
      </c>
      <c r="R237" s="1"/>
      <c r="S237" s="1"/>
      <c r="T237" s="1"/>
      <c r="U237" s="1"/>
      <c r="V237" s="1"/>
      <c r="W237" s="1"/>
      <c r="X237" s="1"/>
      <c r="Y237" s="1"/>
      <c r="Z237" s="1"/>
      <c r="AA237" s="1"/>
      <c r="AB237" s="1"/>
      <c r="AC237" s="1"/>
      <c r="AD237" s="1"/>
      <c r="AE237" s="1"/>
    </row>
    <row r="238" spans="1:31" ht="25" x14ac:dyDescent="0.25">
      <c r="A238" s="1"/>
      <c r="B238" s="128"/>
      <c r="C238" s="36" t="s">
        <v>90</v>
      </c>
      <c r="D238" s="37" t="s">
        <v>25</v>
      </c>
      <c r="E238" s="38">
        <v>45692</v>
      </c>
      <c r="F238" s="39">
        <v>1</v>
      </c>
      <c r="G238" s="38">
        <v>45816</v>
      </c>
      <c r="H238" s="40"/>
      <c r="I238" s="41"/>
      <c r="J238" s="40"/>
      <c r="K238" s="41"/>
      <c r="L238" s="39">
        <v>1</v>
      </c>
      <c r="M238" s="39" t="s">
        <v>25</v>
      </c>
      <c r="N238" s="39" t="s">
        <v>37</v>
      </c>
      <c r="O238" s="36" t="s">
        <v>91</v>
      </c>
      <c r="P238" s="36" t="s">
        <v>92</v>
      </c>
      <c r="Q238" s="42" t="s">
        <v>93</v>
      </c>
      <c r="R238" s="1"/>
      <c r="S238" s="1"/>
      <c r="T238" s="1"/>
      <c r="U238" s="1"/>
      <c r="V238" s="1"/>
      <c r="W238" s="1"/>
      <c r="X238" s="1"/>
      <c r="Y238" s="1"/>
      <c r="Z238" s="1"/>
      <c r="AA238" s="1"/>
      <c r="AB238" s="1"/>
      <c r="AC238" s="1"/>
      <c r="AD238" s="1"/>
      <c r="AE238" s="1"/>
    </row>
    <row r="239" spans="1:31" ht="37.5" x14ac:dyDescent="0.25">
      <c r="A239" s="1"/>
      <c r="B239" s="131"/>
      <c r="C239" s="64" t="s">
        <v>52</v>
      </c>
      <c r="D239" s="65" t="s">
        <v>25</v>
      </c>
      <c r="E239" s="66" t="s">
        <v>32</v>
      </c>
      <c r="F239" s="66">
        <v>2</v>
      </c>
      <c r="G239" s="69">
        <v>45879</v>
      </c>
      <c r="H239" s="67"/>
      <c r="I239" s="68"/>
      <c r="J239" s="67"/>
      <c r="K239" s="68"/>
      <c r="L239" s="66">
        <v>1</v>
      </c>
      <c r="M239" s="66">
        <v>0</v>
      </c>
      <c r="N239" s="66" t="s">
        <v>30</v>
      </c>
      <c r="O239" s="64" t="s">
        <v>53</v>
      </c>
      <c r="P239" s="64" t="s">
        <v>54</v>
      </c>
      <c r="Q239" s="70" t="s">
        <v>55</v>
      </c>
      <c r="R239" s="1"/>
      <c r="S239" s="1"/>
      <c r="T239" s="1"/>
      <c r="U239" s="1"/>
      <c r="V239" s="1"/>
      <c r="W239" s="1"/>
      <c r="X239" s="1"/>
      <c r="Y239" s="1"/>
      <c r="Z239" s="1"/>
      <c r="AA239" s="1"/>
      <c r="AB239" s="1"/>
      <c r="AC239" s="1"/>
      <c r="AD239" s="1"/>
      <c r="AE239" s="1"/>
    </row>
    <row r="240" spans="1:31" ht="37.5" x14ac:dyDescent="0.25">
      <c r="A240" s="1"/>
      <c r="B240" s="130" t="s">
        <v>94</v>
      </c>
      <c r="C240" s="36" t="s">
        <v>95</v>
      </c>
      <c r="D240" s="37" t="s">
        <v>25</v>
      </c>
      <c r="E240" s="39" t="s">
        <v>32</v>
      </c>
      <c r="F240" s="39">
        <v>2</v>
      </c>
      <c r="G240" s="38">
        <v>45816</v>
      </c>
      <c r="H240" s="40"/>
      <c r="I240" s="41"/>
      <c r="J240" s="40"/>
      <c r="K240" s="41"/>
      <c r="L240" s="39">
        <v>1</v>
      </c>
      <c r="M240" s="39">
        <v>0</v>
      </c>
      <c r="N240" s="39" t="s">
        <v>30</v>
      </c>
      <c r="O240" s="36" t="s">
        <v>96</v>
      </c>
      <c r="P240" s="36" t="s">
        <v>97</v>
      </c>
      <c r="Q240" s="42" t="s">
        <v>98</v>
      </c>
      <c r="R240" s="1"/>
      <c r="S240" s="1"/>
      <c r="T240" s="1"/>
      <c r="U240" s="1"/>
      <c r="V240" s="1"/>
      <c r="W240" s="1"/>
      <c r="X240" s="1"/>
      <c r="Y240" s="1"/>
      <c r="Z240" s="1"/>
      <c r="AA240" s="1"/>
      <c r="AB240" s="1"/>
      <c r="AC240" s="1"/>
      <c r="AD240" s="1"/>
      <c r="AE240" s="1"/>
    </row>
    <row r="241" spans="1:31" ht="25" x14ac:dyDescent="0.25">
      <c r="A241" s="1"/>
      <c r="B241" s="128"/>
      <c r="C241" s="43" t="s">
        <v>99</v>
      </c>
      <c r="D241" s="44" t="s">
        <v>25</v>
      </c>
      <c r="E241" s="46" t="s">
        <v>32</v>
      </c>
      <c r="F241" s="46">
        <v>2</v>
      </c>
      <c r="G241" s="45">
        <v>45879</v>
      </c>
      <c r="H241" s="47"/>
      <c r="I241" s="48"/>
      <c r="J241" s="47"/>
      <c r="K241" s="48"/>
      <c r="L241" s="46">
        <v>1</v>
      </c>
      <c r="M241" s="46">
        <v>0</v>
      </c>
      <c r="N241" s="46" t="s">
        <v>30</v>
      </c>
      <c r="O241" s="43" t="s">
        <v>100</v>
      </c>
      <c r="P241" s="43" t="s">
        <v>101</v>
      </c>
      <c r="Q241" s="49" t="s">
        <v>102</v>
      </c>
      <c r="R241" s="1"/>
      <c r="S241" s="1"/>
      <c r="T241" s="1"/>
      <c r="U241" s="1"/>
      <c r="V241" s="1"/>
      <c r="W241" s="1"/>
      <c r="X241" s="1"/>
      <c r="Y241" s="1"/>
      <c r="Z241" s="1"/>
      <c r="AA241" s="1"/>
      <c r="AB241" s="1"/>
      <c r="AC241" s="1"/>
      <c r="AD241" s="1"/>
      <c r="AE241" s="1"/>
    </row>
    <row r="242" spans="1:31" ht="25" x14ac:dyDescent="0.25">
      <c r="A242" s="1"/>
      <c r="B242" s="128"/>
      <c r="C242" s="36" t="s">
        <v>103</v>
      </c>
      <c r="D242" s="37" t="s">
        <v>25</v>
      </c>
      <c r="E242" s="39" t="s">
        <v>32</v>
      </c>
      <c r="F242" s="39">
        <v>1</v>
      </c>
      <c r="G242" s="38">
        <v>45879</v>
      </c>
      <c r="H242" s="40"/>
      <c r="I242" s="41"/>
      <c r="J242" s="40"/>
      <c r="K242" s="41"/>
      <c r="L242" s="39">
        <v>0</v>
      </c>
      <c r="M242" s="39" t="s">
        <v>25</v>
      </c>
      <c r="N242" s="39" t="s">
        <v>30</v>
      </c>
      <c r="O242" s="36" t="s">
        <v>104</v>
      </c>
      <c r="P242" s="36" t="s">
        <v>105</v>
      </c>
      <c r="Q242" s="42" t="s">
        <v>106</v>
      </c>
      <c r="R242" s="1"/>
      <c r="S242" s="1"/>
      <c r="T242" s="1"/>
      <c r="U242" s="1"/>
      <c r="V242" s="1"/>
      <c r="W242" s="1"/>
      <c r="X242" s="1"/>
      <c r="Y242" s="1"/>
      <c r="Z242" s="1"/>
      <c r="AA242" s="1"/>
      <c r="AB242" s="1"/>
      <c r="AC242" s="1"/>
      <c r="AD242" s="1"/>
      <c r="AE242" s="1"/>
    </row>
    <row r="243" spans="1:31" x14ac:dyDescent="0.25">
      <c r="A243" s="1"/>
      <c r="B243" s="128"/>
      <c r="C243" s="43" t="s">
        <v>107</v>
      </c>
      <c r="D243" s="44" t="s">
        <v>25</v>
      </c>
      <c r="E243" s="46" t="s">
        <v>32</v>
      </c>
      <c r="F243" s="46">
        <v>2</v>
      </c>
      <c r="G243" s="45">
        <v>45879</v>
      </c>
      <c r="H243" s="47"/>
      <c r="I243" s="48"/>
      <c r="J243" s="47"/>
      <c r="K243" s="48"/>
      <c r="L243" s="46">
        <v>1</v>
      </c>
      <c r="M243" s="46">
        <v>0</v>
      </c>
      <c r="N243" s="46" t="s">
        <v>30</v>
      </c>
      <c r="O243" s="43" t="s">
        <v>108</v>
      </c>
      <c r="P243" s="43" t="s">
        <v>109</v>
      </c>
      <c r="Q243" s="49" t="s">
        <v>110</v>
      </c>
      <c r="R243" s="1"/>
      <c r="S243" s="1"/>
      <c r="T243" s="1"/>
      <c r="U243" s="1"/>
      <c r="V243" s="1"/>
      <c r="W243" s="1"/>
      <c r="X243" s="1"/>
      <c r="Y243" s="1"/>
      <c r="Z243" s="1"/>
      <c r="AA243" s="1"/>
      <c r="AB243" s="1"/>
      <c r="AC243" s="1"/>
      <c r="AD243" s="1"/>
      <c r="AE243" s="1"/>
    </row>
    <row r="244" spans="1:31" x14ac:dyDescent="0.25">
      <c r="A244" s="1"/>
      <c r="B244" s="128"/>
      <c r="C244" s="36" t="s">
        <v>111</v>
      </c>
      <c r="D244" s="37" t="s">
        <v>25</v>
      </c>
      <c r="E244" s="39" t="s">
        <v>32</v>
      </c>
      <c r="F244" s="39">
        <v>2</v>
      </c>
      <c r="G244" s="38">
        <v>45879</v>
      </c>
      <c r="H244" s="40"/>
      <c r="I244" s="41"/>
      <c r="J244" s="40"/>
      <c r="K244" s="41"/>
      <c r="L244" s="39">
        <v>1</v>
      </c>
      <c r="M244" s="39">
        <v>0</v>
      </c>
      <c r="N244" s="39" t="s">
        <v>30</v>
      </c>
      <c r="O244" s="36" t="s">
        <v>112</v>
      </c>
      <c r="P244" s="37" t="s">
        <v>25</v>
      </c>
      <c r="Q244" s="42" t="s">
        <v>113</v>
      </c>
      <c r="R244" s="1"/>
      <c r="S244" s="1"/>
      <c r="T244" s="1"/>
      <c r="U244" s="1"/>
      <c r="V244" s="1"/>
      <c r="W244" s="1"/>
      <c r="X244" s="1"/>
      <c r="Y244" s="1"/>
      <c r="Z244" s="1"/>
      <c r="AA244" s="1"/>
      <c r="AB244" s="1"/>
      <c r="AC244" s="1"/>
      <c r="AD244" s="1"/>
      <c r="AE244" s="1"/>
    </row>
    <row r="245" spans="1:31" x14ac:dyDescent="0.25">
      <c r="A245" s="1"/>
      <c r="B245" s="128"/>
      <c r="C245" s="43" t="s">
        <v>114</v>
      </c>
      <c r="D245" s="44" t="s">
        <v>25</v>
      </c>
      <c r="E245" s="46" t="s">
        <v>32</v>
      </c>
      <c r="F245" s="46">
        <v>2</v>
      </c>
      <c r="G245" s="45">
        <v>45879</v>
      </c>
      <c r="H245" s="47"/>
      <c r="I245" s="48"/>
      <c r="J245" s="47"/>
      <c r="K245" s="48"/>
      <c r="L245" s="46">
        <v>1</v>
      </c>
      <c r="M245" s="46">
        <v>0</v>
      </c>
      <c r="N245" s="46" t="s">
        <v>30</v>
      </c>
      <c r="O245" s="43" t="s">
        <v>115</v>
      </c>
      <c r="P245" s="44" t="s">
        <v>25</v>
      </c>
      <c r="Q245" s="49" t="s">
        <v>113</v>
      </c>
      <c r="R245" s="1"/>
      <c r="S245" s="1"/>
      <c r="T245" s="1"/>
      <c r="U245" s="1"/>
      <c r="V245" s="1"/>
      <c r="W245" s="1"/>
      <c r="X245" s="1"/>
      <c r="Y245" s="1"/>
      <c r="Z245" s="1"/>
      <c r="AA245" s="1"/>
      <c r="AB245" s="1"/>
      <c r="AC245" s="1"/>
      <c r="AD245" s="1"/>
      <c r="AE245" s="1"/>
    </row>
    <row r="246" spans="1:31" x14ac:dyDescent="0.25">
      <c r="A246" s="1"/>
      <c r="B246" s="128"/>
      <c r="C246" s="36" t="s">
        <v>116</v>
      </c>
      <c r="D246" s="37" t="s">
        <v>25</v>
      </c>
      <c r="E246" s="39" t="s">
        <v>32</v>
      </c>
      <c r="F246" s="39">
        <v>1</v>
      </c>
      <c r="G246" s="38">
        <v>45816</v>
      </c>
      <c r="H246" s="40"/>
      <c r="I246" s="41"/>
      <c r="J246" s="40"/>
      <c r="K246" s="41"/>
      <c r="L246" s="39">
        <v>0</v>
      </c>
      <c r="M246" s="39" t="s">
        <v>25</v>
      </c>
      <c r="N246" s="39" t="s">
        <v>30</v>
      </c>
      <c r="O246" s="36" t="s">
        <v>117</v>
      </c>
      <c r="P246" s="36" t="s">
        <v>118</v>
      </c>
      <c r="Q246" s="42" t="s">
        <v>119</v>
      </c>
      <c r="R246" s="1"/>
      <c r="S246" s="1"/>
      <c r="T246" s="1"/>
      <c r="U246" s="1"/>
      <c r="V246" s="1"/>
      <c r="W246" s="1"/>
      <c r="X246" s="1"/>
      <c r="Y246" s="1"/>
      <c r="Z246" s="1"/>
      <c r="AA246" s="1"/>
      <c r="AB246" s="1"/>
      <c r="AC246" s="1"/>
      <c r="AD246" s="1"/>
      <c r="AE246" s="1"/>
    </row>
    <row r="247" spans="1:31" ht="25" x14ac:dyDescent="0.25">
      <c r="A247" s="1"/>
      <c r="B247" s="128"/>
      <c r="C247" s="43" t="s">
        <v>34</v>
      </c>
      <c r="D247" s="44" t="s">
        <v>25</v>
      </c>
      <c r="E247" s="46" t="s">
        <v>32</v>
      </c>
      <c r="F247" s="46">
        <v>2</v>
      </c>
      <c r="G247" s="45">
        <v>45879</v>
      </c>
      <c r="H247" s="47"/>
      <c r="I247" s="46"/>
      <c r="J247" s="47"/>
      <c r="K247" s="48"/>
      <c r="L247" s="46">
        <v>1</v>
      </c>
      <c r="M247" s="46">
        <v>0</v>
      </c>
      <c r="N247" s="46" t="s">
        <v>30</v>
      </c>
      <c r="O247" s="43" t="s">
        <v>71</v>
      </c>
      <c r="P247" s="43" t="s">
        <v>72</v>
      </c>
      <c r="Q247" s="49" t="s">
        <v>120</v>
      </c>
      <c r="R247" s="1"/>
      <c r="S247" s="1"/>
      <c r="T247" s="1"/>
      <c r="U247" s="1"/>
      <c r="V247" s="1"/>
      <c r="W247" s="1"/>
      <c r="X247" s="1"/>
      <c r="Y247" s="1"/>
      <c r="Z247" s="1"/>
      <c r="AA247" s="1"/>
      <c r="AB247" s="1"/>
      <c r="AC247" s="1"/>
      <c r="AD247" s="1"/>
      <c r="AE247" s="1"/>
    </row>
    <row r="248" spans="1:31" x14ac:dyDescent="0.25">
      <c r="A248" s="1"/>
      <c r="B248" s="131"/>
      <c r="C248" s="59" t="s">
        <v>121</v>
      </c>
      <c r="D248" s="60" t="s">
        <v>25</v>
      </c>
      <c r="E248" s="61" t="s">
        <v>32</v>
      </c>
      <c r="F248" s="61">
        <v>2</v>
      </c>
      <c r="G248" s="61" t="s">
        <v>25</v>
      </c>
      <c r="H248" s="62"/>
      <c r="I248" s="61"/>
      <c r="J248" s="62"/>
      <c r="K248" s="63"/>
      <c r="L248" s="61">
        <v>0</v>
      </c>
      <c r="M248" s="61">
        <v>0</v>
      </c>
      <c r="N248" s="61" t="s">
        <v>30</v>
      </c>
      <c r="O248" s="60" t="s">
        <v>25</v>
      </c>
      <c r="P248" s="60" t="s">
        <v>25</v>
      </c>
      <c r="Q248" s="71" t="s">
        <v>122</v>
      </c>
      <c r="R248" s="1"/>
      <c r="S248" s="1"/>
      <c r="T248" s="1"/>
      <c r="U248" s="1"/>
      <c r="V248" s="1"/>
      <c r="W248" s="1"/>
      <c r="X248" s="1"/>
      <c r="Y248" s="1"/>
      <c r="Z248" s="1"/>
      <c r="AA248" s="1"/>
      <c r="AB248" s="1"/>
      <c r="AC248" s="1"/>
      <c r="AD248" s="1"/>
      <c r="AE248" s="1"/>
    </row>
    <row r="249" spans="1:31" ht="13" x14ac:dyDescent="0.25">
      <c r="A249" s="1"/>
      <c r="B249" s="155" t="s">
        <v>141</v>
      </c>
      <c r="C249" s="156"/>
      <c r="D249" s="156"/>
      <c r="E249" s="156"/>
      <c r="F249" s="156"/>
      <c r="G249" s="156"/>
      <c r="H249" s="156"/>
      <c r="I249" s="156"/>
      <c r="J249" s="156"/>
      <c r="K249" s="156"/>
      <c r="L249" s="156"/>
      <c r="M249" s="156"/>
      <c r="N249" s="156"/>
      <c r="O249" s="156"/>
      <c r="P249" s="156"/>
      <c r="Q249" s="157"/>
      <c r="R249" s="1"/>
      <c r="S249" s="1"/>
      <c r="T249" s="1"/>
      <c r="U249" s="1"/>
      <c r="V249" s="1"/>
      <c r="W249" s="1"/>
      <c r="X249" s="1"/>
      <c r="Y249" s="1"/>
      <c r="Z249" s="1"/>
      <c r="AA249" s="1"/>
      <c r="AB249" s="1"/>
      <c r="AC249" s="1"/>
      <c r="AD249" s="1"/>
      <c r="AE249" s="1"/>
    </row>
    <row r="250" spans="1:31" x14ac:dyDescent="0.25">
      <c r="A250" s="1"/>
      <c r="B250" s="1"/>
      <c r="C250" s="5"/>
      <c r="D250" s="5"/>
      <c r="E250" s="1"/>
      <c r="F250" s="1"/>
      <c r="G250" s="1"/>
      <c r="H250" s="1"/>
      <c r="I250" s="1"/>
      <c r="J250" s="1"/>
      <c r="K250" s="1"/>
      <c r="L250" s="1"/>
      <c r="M250" s="1"/>
      <c r="N250" s="1"/>
      <c r="O250" s="5"/>
      <c r="P250" s="5"/>
      <c r="Q250" s="5"/>
      <c r="R250" s="1"/>
      <c r="S250" s="1"/>
      <c r="T250" s="1"/>
      <c r="U250" s="1"/>
      <c r="V250" s="1"/>
      <c r="W250" s="1"/>
      <c r="X250" s="1"/>
      <c r="Y250" s="1"/>
      <c r="Z250" s="1"/>
      <c r="AA250" s="1"/>
      <c r="AB250" s="1"/>
      <c r="AC250" s="1"/>
      <c r="AD250" s="1"/>
      <c r="AE250" s="1"/>
    </row>
    <row r="251" spans="1:31" x14ac:dyDescent="0.25">
      <c r="A251" s="1"/>
      <c r="B251" s="1"/>
      <c r="C251" s="5"/>
      <c r="D251" s="5"/>
      <c r="E251" s="1"/>
      <c r="F251" s="1"/>
      <c r="G251" s="1"/>
      <c r="H251" s="1"/>
      <c r="I251" s="1"/>
      <c r="J251" s="1"/>
      <c r="K251" s="1"/>
      <c r="L251" s="1"/>
      <c r="M251" s="1"/>
      <c r="N251" s="1"/>
      <c r="O251" s="5"/>
      <c r="P251" s="5"/>
      <c r="Q251" s="5"/>
      <c r="R251" s="1"/>
      <c r="S251" s="1"/>
      <c r="T251" s="1"/>
      <c r="U251" s="1"/>
      <c r="V251" s="1"/>
      <c r="W251" s="1"/>
      <c r="X251" s="1"/>
      <c r="Y251" s="1"/>
      <c r="Z251" s="1"/>
      <c r="AA251" s="1"/>
      <c r="AB251" s="1"/>
      <c r="AC251" s="1"/>
      <c r="AD251" s="1"/>
      <c r="AE251" s="1"/>
    </row>
    <row r="252" spans="1:31" x14ac:dyDescent="0.25">
      <c r="A252" s="1"/>
      <c r="B252" s="132" t="s">
        <v>131</v>
      </c>
      <c r="C252" s="135" t="s">
        <v>7</v>
      </c>
      <c r="D252" s="135" t="s">
        <v>8</v>
      </c>
      <c r="E252" s="135" t="s">
        <v>9</v>
      </c>
      <c r="F252" s="139" t="s">
        <v>10</v>
      </c>
      <c r="G252" s="142" t="s">
        <v>11</v>
      </c>
      <c r="H252" s="143" t="s">
        <v>12</v>
      </c>
      <c r="I252" s="144"/>
      <c r="J252" s="144"/>
      <c r="K252" s="145"/>
      <c r="L252" s="146" t="s">
        <v>13</v>
      </c>
      <c r="M252" s="147"/>
      <c r="N252" s="150" t="s">
        <v>14</v>
      </c>
      <c r="O252" s="138" t="s">
        <v>15</v>
      </c>
      <c r="P252" s="138" t="s">
        <v>16</v>
      </c>
      <c r="Q252" s="135" t="s">
        <v>17</v>
      </c>
      <c r="R252" s="1"/>
      <c r="S252" s="1"/>
      <c r="T252" s="1"/>
      <c r="U252" s="1"/>
      <c r="V252" s="1"/>
      <c r="W252" s="1"/>
      <c r="X252" s="1"/>
      <c r="Y252" s="1"/>
      <c r="Z252" s="1"/>
      <c r="AA252" s="1"/>
      <c r="AB252" s="1"/>
      <c r="AC252" s="1"/>
      <c r="AD252" s="1"/>
      <c r="AE252" s="1"/>
    </row>
    <row r="253" spans="1:31" x14ac:dyDescent="0.25">
      <c r="A253" s="1"/>
      <c r="B253" s="133"/>
      <c r="C253" s="136"/>
      <c r="D253" s="136"/>
      <c r="E253" s="136"/>
      <c r="F253" s="140"/>
      <c r="G253" s="128"/>
      <c r="H253" s="152" t="s">
        <v>18</v>
      </c>
      <c r="I253" s="153"/>
      <c r="J253" s="154" t="s">
        <v>19</v>
      </c>
      <c r="K253" s="153"/>
      <c r="L253" s="148"/>
      <c r="M253" s="149"/>
      <c r="N253" s="149"/>
      <c r="O253" s="136"/>
      <c r="P253" s="136"/>
      <c r="Q253" s="136"/>
      <c r="R253" s="1"/>
      <c r="S253" s="1"/>
      <c r="T253" s="1"/>
      <c r="U253" s="1"/>
      <c r="V253" s="1"/>
      <c r="W253" s="1"/>
      <c r="X253" s="1"/>
      <c r="Y253" s="1"/>
      <c r="Z253" s="1"/>
      <c r="AA253" s="1"/>
      <c r="AB253" s="1"/>
      <c r="AC253" s="1"/>
      <c r="AD253" s="1"/>
      <c r="AE253" s="1"/>
    </row>
    <row r="254" spans="1:31" ht="13" x14ac:dyDescent="0.25">
      <c r="A254" s="1"/>
      <c r="B254" s="134"/>
      <c r="C254" s="137"/>
      <c r="D254" s="137"/>
      <c r="E254" s="137"/>
      <c r="F254" s="141"/>
      <c r="G254" s="128"/>
      <c r="H254" s="9" t="s">
        <v>20</v>
      </c>
      <c r="I254" s="10" t="s">
        <v>21</v>
      </c>
      <c r="J254" s="11" t="s">
        <v>20</v>
      </c>
      <c r="K254" s="10" t="s">
        <v>21</v>
      </c>
      <c r="L254" s="12" t="s">
        <v>22</v>
      </c>
      <c r="M254" s="12" t="s">
        <v>23</v>
      </c>
      <c r="N254" s="151"/>
      <c r="O254" s="137"/>
      <c r="P254" s="137"/>
      <c r="Q254" s="137"/>
      <c r="R254" s="1"/>
      <c r="S254" s="1"/>
      <c r="T254" s="1"/>
      <c r="U254" s="1"/>
      <c r="V254" s="1"/>
      <c r="W254" s="1"/>
      <c r="X254" s="1"/>
      <c r="Y254" s="1"/>
      <c r="Z254" s="1"/>
      <c r="AA254" s="1"/>
      <c r="AB254" s="1"/>
      <c r="AC254" s="1"/>
      <c r="AD254" s="1"/>
      <c r="AE254" s="1"/>
    </row>
    <row r="255" spans="1:31" ht="25" x14ac:dyDescent="0.25">
      <c r="A255" s="1"/>
      <c r="B255" s="127" t="s">
        <v>140</v>
      </c>
      <c r="C255" s="13" t="s">
        <v>41</v>
      </c>
      <c r="D255" s="14" t="s">
        <v>133</v>
      </c>
      <c r="E255" s="15">
        <v>45659</v>
      </c>
      <c r="F255" s="14">
        <v>2</v>
      </c>
      <c r="G255" s="15">
        <v>45816</v>
      </c>
      <c r="H255" s="16"/>
      <c r="I255" s="17"/>
      <c r="J255" s="18"/>
      <c r="K255" s="17"/>
      <c r="L255" s="14">
        <v>0</v>
      </c>
      <c r="M255" s="14">
        <v>0</v>
      </c>
      <c r="N255" s="14" t="s">
        <v>30</v>
      </c>
      <c r="O255" s="13" t="s">
        <v>42</v>
      </c>
      <c r="P255" s="13" t="s">
        <v>43</v>
      </c>
      <c r="Q255" s="19" t="s">
        <v>44</v>
      </c>
      <c r="R255" s="1"/>
      <c r="S255" s="1"/>
      <c r="T255" s="1"/>
      <c r="U255" s="1"/>
      <c r="V255" s="1"/>
      <c r="W255" s="1"/>
      <c r="X255" s="1"/>
      <c r="Y255" s="1"/>
      <c r="Z255" s="1"/>
      <c r="AA255" s="1"/>
      <c r="AB255" s="1"/>
      <c r="AC255" s="1"/>
      <c r="AD255" s="1"/>
      <c r="AE255" s="1"/>
    </row>
    <row r="256" spans="1:31" ht="25" x14ac:dyDescent="0.25">
      <c r="A256" s="1"/>
      <c r="B256" s="128"/>
      <c r="C256" s="90" t="s">
        <v>45</v>
      </c>
      <c r="D256" s="21" t="s">
        <v>25</v>
      </c>
      <c r="E256" s="22">
        <v>45692</v>
      </c>
      <c r="F256" s="21">
        <v>2</v>
      </c>
      <c r="G256" s="22">
        <v>45816</v>
      </c>
      <c r="H256" s="23"/>
      <c r="I256" s="24"/>
      <c r="J256" s="25"/>
      <c r="K256" s="24"/>
      <c r="L256" s="21">
        <v>1</v>
      </c>
      <c r="M256" s="21">
        <v>0</v>
      </c>
      <c r="N256" s="21" t="s">
        <v>26</v>
      </c>
      <c r="O256" s="21" t="s">
        <v>46</v>
      </c>
      <c r="P256" s="21" t="s">
        <v>46</v>
      </c>
      <c r="Q256" s="26" t="s">
        <v>47</v>
      </c>
      <c r="R256" s="1"/>
      <c r="S256" s="1"/>
      <c r="T256" s="1"/>
      <c r="U256" s="1"/>
      <c r="V256" s="1"/>
      <c r="W256" s="1"/>
      <c r="X256" s="1"/>
      <c r="Y256" s="1"/>
      <c r="Z256" s="1"/>
      <c r="AA256" s="1"/>
      <c r="AB256" s="1"/>
      <c r="AC256" s="1"/>
      <c r="AD256" s="1"/>
      <c r="AE256" s="1"/>
    </row>
    <row r="257" spans="1:31" ht="25" x14ac:dyDescent="0.25">
      <c r="A257" s="1"/>
      <c r="B257" s="128"/>
      <c r="C257" s="20" t="s">
        <v>24</v>
      </c>
      <c r="D257" s="21" t="s">
        <v>25</v>
      </c>
      <c r="E257" s="22">
        <v>45692</v>
      </c>
      <c r="F257" s="21">
        <v>2</v>
      </c>
      <c r="G257" s="22">
        <v>45816</v>
      </c>
      <c r="H257" s="23"/>
      <c r="I257" s="24"/>
      <c r="J257" s="25"/>
      <c r="K257" s="24"/>
      <c r="L257" s="21">
        <v>1</v>
      </c>
      <c r="M257" s="21">
        <v>0</v>
      </c>
      <c r="N257" s="21" t="s">
        <v>26</v>
      </c>
      <c r="O257" s="20" t="s">
        <v>27</v>
      </c>
      <c r="P257" s="20" t="s">
        <v>28</v>
      </c>
      <c r="Q257" s="26" t="s">
        <v>29</v>
      </c>
      <c r="R257" s="1"/>
      <c r="S257" s="1"/>
      <c r="T257" s="1"/>
      <c r="U257" s="1"/>
      <c r="V257" s="1"/>
      <c r="W257" s="1"/>
      <c r="X257" s="1"/>
      <c r="Y257" s="1"/>
      <c r="Z257" s="1"/>
      <c r="AA257" s="1"/>
      <c r="AB257" s="1"/>
      <c r="AC257" s="1"/>
      <c r="AD257" s="1"/>
      <c r="AE257" s="1"/>
    </row>
    <row r="258" spans="1:31" ht="25" x14ac:dyDescent="0.25">
      <c r="A258" s="1"/>
      <c r="B258" s="128"/>
      <c r="C258" s="20" t="s">
        <v>31</v>
      </c>
      <c r="D258" s="21" t="s">
        <v>25</v>
      </c>
      <c r="E258" s="21" t="s">
        <v>32</v>
      </c>
      <c r="F258" s="21">
        <v>1</v>
      </c>
      <c r="G258" s="22">
        <v>45879</v>
      </c>
      <c r="H258" s="23"/>
      <c r="I258" s="24"/>
      <c r="J258" s="25"/>
      <c r="K258" s="24"/>
      <c r="L258" s="21">
        <v>0</v>
      </c>
      <c r="M258" s="21" t="s">
        <v>25</v>
      </c>
      <c r="N258" s="21" t="s">
        <v>30</v>
      </c>
      <c r="O258" s="20" t="s">
        <v>33</v>
      </c>
      <c r="P258" s="20" t="s">
        <v>34</v>
      </c>
      <c r="Q258" s="26" t="s">
        <v>35</v>
      </c>
      <c r="R258" s="1"/>
      <c r="S258" s="1"/>
      <c r="T258" s="1"/>
      <c r="U258" s="1"/>
      <c r="V258" s="1"/>
      <c r="W258" s="1"/>
      <c r="X258" s="1"/>
      <c r="Y258" s="1"/>
      <c r="Z258" s="1"/>
      <c r="AA258" s="1"/>
      <c r="AB258" s="1"/>
      <c r="AC258" s="1"/>
      <c r="AD258" s="1"/>
      <c r="AE258" s="1"/>
    </row>
    <row r="259" spans="1:31" ht="25" x14ac:dyDescent="0.25">
      <c r="A259" s="1"/>
      <c r="B259" s="128"/>
      <c r="C259" s="20" t="s">
        <v>36</v>
      </c>
      <c r="D259" s="21" t="s">
        <v>133</v>
      </c>
      <c r="E259" s="22">
        <v>45659</v>
      </c>
      <c r="F259" s="21">
        <v>2</v>
      </c>
      <c r="G259" s="22">
        <v>45816</v>
      </c>
      <c r="H259" s="23"/>
      <c r="I259" s="24"/>
      <c r="J259" s="25"/>
      <c r="K259" s="24"/>
      <c r="L259" s="21">
        <v>1</v>
      </c>
      <c r="M259" s="21">
        <v>0</v>
      </c>
      <c r="N259" s="21" t="s">
        <v>37</v>
      </c>
      <c r="O259" s="20" t="s">
        <v>38</v>
      </c>
      <c r="P259" s="20" t="s">
        <v>39</v>
      </c>
      <c r="Q259" s="26" t="s">
        <v>40</v>
      </c>
      <c r="R259" s="1"/>
      <c r="S259" s="1"/>
      <c r="T259" s="1"/>
      <c r="U259" s="1"/>
      <c r="V259" s="1"/>
      <c r="W259" s="1"/>
      <c r="X259" s="1"/>
      <c r="Y259" s="1"/>
      <c r="Z259" s="1"/>
      <c r="AA259" s="1"/>
      <c r="AB259" s="1"/>
      <c r="AC259" s="1"/>
      <c r="AD259" s="1"/>
      <c r="AE259" s="1"/>
    </row>
    <row r="260" spans="1:31" ht="37.5" x14ac:dyDescent="0.25">
      <c r="A260" s="1"/>
      <c r="B260" s="129"/>
      <c r="C260" s="20" t="s">
        <v>52</v>
      </c>
      <c r="D260" s="21" t="s">
        <v>133</v>
      </c>
      <c r="E260" s="21" t="s">
        <v>32</v>
      </c>
      <c r="F260" s="21">
        <v>1</v>
      </c>
      <c r="G260" s="22">
        <v>45816</v>
      </c>
      <c r="H260" s="23"/>
      <c r="I260" s="24"/>
      <c r="J260" s="25"/>
      <c r="K260" s="24"/>
      <c r="L260" s="21">
        <v>0</v>
      </c>
      <c r="M260" s="21" t="s">
        <v>25</v>
      </c>
      <c r="N260" s="21" t="s">
        <v>30</v>
      </c>
      <c r="O260" s="20" t="s">
        <v>53</v>
      </c>
      <c r="P260" s="20" t="s">
        <v>54</v>
      </c>
      <c r="Q260" s="26" t="s">
        <v>55</v>
      </c>
      <c r="R260" s="1"/>
      <c r="S260" s="1"/>
      <c r="T260" s="1"/>
      <c r="U260" s="1"/>
      <c r="V260" s="1"/>
      <c r="W260" s="1"/>
      <c r="X260" s="1"/>
      <c r="Y260" s="1"/>
      <c r="Z260" s="1"/>
      <c r="AA260" s="1"/>
      <c r="AB260" s="1"/>
      <c r="AC260" s="1"/>
      <c r="AD260" s="1"/>
      <c r="AE260" s="1"/>
    </row>
    <row r="261" spans="1:31" ht="13" x14ac:dyDescent="0.25">
      <c r="A261" s="1"/>
      <c r="B261" s="155" t="s">
        <v>141</v>
      </c>
      <c r="C261" s="156"/>
      <c r="D261" s="156"/>
      <c r="E261" s="156"/>
      <c r="F261" s="156"/>
      <c r="G261" s="156"/>
      <c r="H261" s="156"/>
      <c r="I261" s="156"/>
      <c r="J261" s="156"/>
      <c r="K261" s="156"/>
      <c r="L261" s="156"/>
      <c r="M261" s="156"/>
      <c r="N261" s="156"/>
      <c r="O261" s="156"/>
      <c r="P261" s="156"/>
      <c r="Q261" s="157"/>
      <c r="R261" s="1"/>
      <c r="S261" s="1"/>
      <c r="T261" s="1"/>
      <c r="U261" s="1"/>
      <c r="V261" s="1"/>
      <c r="W261" s="1"/>
      <c r="X261" s="1"/>
      <c r="Y261" s="1"/>
      <c r="Z261" s="1"/>
      <c r="AA261" s="1"/>
      <c r="AB261" s="1"/>
      <c r="AC261" s="1"/>
      <c r="AD261" s="1"/>
      <c r="AE261" s="1"/>
    </row>
    <row r="262" spans="1:31" ht="25" x14ac:dyDescent="0.25">
      <c r="A262" s="1"/>
      <c r="B262" s="130" t="s">
        <v>142</v>
      </c>
      <c r="C262" s="52" t="s">
        <v>56</v>
      </c>
      <c r="D262" s="53" t="s">
        <v>133</v>
      </c>
      <c r="E262" s="54">
        <v>45691</v>
      </c>
      <c r="F262" s="55">
        <v>2</v>
      </c>
      <c r="G262" s="54">
        <v>45879</v>
      </c>
      <c r="H262" s="56"/>
      <c r="I262" s="57"/>
      <c r="J262" s="56"/>
      <c r="K262" s="57"/>
      <c r="L262" s="55">
        <v>1</v>
      </c>
      <c r="M262" s="55">
        <v>0</v>
      </c>
      <c r="N262" s="55" t="s">
        <v>37</v>
      </c>
      <c r="O262" s="52" t="s">
        <v>57</v>
      </c>
      <c r="P262" s="52" t="s">
        <v>39</v>
      </c>
      <c r="Q262" s="58" t="s">
        <v>58</v>
      </c>
      <c r="R262" s="1"/>
      <c r="S262" s="1"/>
      <c r="T262" s="1"/>
      <c r="U262" s="1"/>
      <c r="V262" s="1"/>
      <c r="W262" s="1"/>
      <c r="X262" s="1"/>
      <c r="Y262" s="1"/>
      <c r="Z262" s="1"/>
      <c r="AA262" s="1"/>
      <c r="AB262" s="1"/>
      <c r="AC262" s="1"/>
      <c r="AD262" s="1"/>
      <c r="AE262" s="1"/>
    </row>
    <row r="263" spans="1:31" ht="25" x14ac:dyDescent="0.25">
      <c r="A263" s="1"/>
      <c r="B263" s="128"/>
      <c r="C263" s="43" t="s">
        <v>59</v>
      </c>
      <c r="D263" s="44" t="s">
        <v>132</v>
      </c>
      <c r="E263" s="45">
        <v>45691</v>
      </c>
      <c r="F263" s="46">
        <v>2</v>
      </c>
      <c r="G263" s="45">
        <v>45879</v>
      </c>
      <c r="H263" s="47"/>
      <c r="I263" s="48"/>
      <c r="J263" s="47"/>
      <c r="K263" s="48"/>
      <c r="L263" s="46">
        <v>1</v>
      </c>
      <c r="M263" s="46">
        <v>0</v>
      </c>
      <c r="N263" s="46" t="s">
        <v>37</v>
      </c>
      <c r="O263" s="43" t="s">
        <v>60</v>
      </c>
      <c r="P263" s="43" t="s">
        <v>61</v>
      </c>
      <c r="Q263" s="49" t="s">
        <v>62</v>
      </c>
      <c r="R263" s="1"/>
      <c r="S263" s="1"/>
      <c r="T263" s="1"/>
      <c r="U263" s="1"/>
      <c r="V263" s="1"/>
      <c r="W263" s="1"/>
      <c r="X263" s="1"/>
      <c r="Y263" s="1"/>
      <c r="Z263" s="1"/>
      <c r="AA263" s="1"/>
      <c r="AB263" s="1"/>
      <c r="AC263" s="1"/>
      <c r="AD263" s="1"/>
      <c r="AE263" s="1"/>
    </row>
    <row r="264" spans="1:31" x14ac:dyDescent="0.25">
      <c r="A264" s="1"/>
      <c r="B264" s="128"/>
      <c r="C264" s="36" t="s">
        <v>63</v>
      </c>
      <c r="D264" s="37" t="s">
        <v>25</v>
      </c>
      <c r="E264" s="38">
        <v>45659</v>
      </c>
      <c r="F264" s="39">
        <v>1</v>
      </c>
      <c r="G264" s="38">
        <v>45816</v>
      </c>
      <c r="H264" s="40"/>
      <c r="I264" s="41"/>
      <c r="J264" s="40"/>
      <c r="K264" s="41"/>
      <c r="L264" s="39">
        <v>0</v>
      </c>
      <c r="M264" s="39" t="s">
        <v>25</v>
      </c>
      <c r="N264" s="39" t="s">
        <v>30</v>
      </c>
      <c r="O264" s="36" t="s">
        <v>64</v>
      </c>
      <c r="P264" s="36" t="s">
        <v>65</v>
      </c>
      <c r="Q264" s="42" t="s">
        <v>66</v>
      </c>
      <c r="R264" s="1"/>
      <c r="S264" s="1"/>
      <c r="T264" s="1"/>
      <c r="U264" s="1"/>
      <c r="V264" s="1"/>
      <c r="W264" s="1"/>
      <c r="X264" s="1"/>
      <c r="Y264" s="1"/>
      <c r="Z264" s="1"/>
      <c r="AA264" s="1"/>
      <c r="AB264" s="1"/>
      <c r="AC264" s="1"/>
      <c r="AD264" s="1"/>
      <c r="AE264" s="1"/>
    </row>
    <row r="265" spans="1:31" ht="25" x14ac:dyDescent="0.25">
      <c r="A265" s="1"/>
      <c r="B265" s="128"/>
      <c r="C265" s="43" t="s">
        <v>67</v>
      </c>
      <c r="D265" s="44" t="s">
        <v>135</v>
      </c>
      <c r="E265" s="45">
        <v>45692</v>
      </c>
      <c r="F265" s="46">
        <v>2</v>
      </c>
      <c r="G265" s="45">
        <v>45879</v>
      </c>
      <c r="H265" s="47"/>
      <c r="I265" s="48"/>
      <c r="J265" s="47"/>
      <c r="K265" s="48"/>
      <c r="L265" s="46">
        <v>1</v>
      </c>
      <c r="M265" s="46">
        <v>0</v>
      </c>
      <c r="N265" s="46" t="s">
        <v>26</v>
      </c>
      <c r="O265" s="43" t="s">
        <v>68</v>
      </c>
      <c r="P265" s="43" t="s">
        <v>69</v>
      </c>
      <c r="Q265" s="49" t="s">
        <v>70</v>
      </c>
      <c r="R265" s="1"/>
      <c r="S265" s="1"/>
      <c r="T265" s="1"/>
      <c r="U265" s="1"/>
      <c r="V265" s="1"/>
      <c r="W265" s="1"/>
      <c r="X265" s="1"/>
      <c r="Y265" s="1"/>
      <c r="Z265" s="1"/>
      <c r="AA265" s="1"/>
      <c r="AB265" s="1"/>
      <c r="AC265" s="1"/>
      <c r="AD265" s="1"/>
      <c r="AE265" s="1"/>
    </row>
    <row r="266" spans="1:31" ht="25" x14ac:dyDescent="0.25">
      <c r="A266" s="1"/>
      <c r="B266" s="128"/>
      <c r="C266" s="36" t="s">
        <v>71</v>
      </c>
      <c r="D266" s="37" t="s">
        <v>25</v>
      </c>
      <c r="E266" s="39" t="s">
        <v>32</v>
      </c>
      <c r="F266" s="39">
        <v>2</v>
      </c>
      <c r="G266" s="38">
        <v>45879</v>
      </c>
      <c r="H266" s="40"/>
      <c r="I266" s="41"/>
      <c r="J266" s="40"/>
      <c r="K266" s="41"/>
      <c r="L266" s="39">
        <v>0</v>
      </c>
      <c r="M266" s="39">
        <v>0</v>
      </c>
      <c r="N266" s="39" t="s">
        <v>30</v>
      </c>
      <c r="O266" s="36" t="s">
        <v>72</v>
      </c>
      <c r="P266" s="36" t="s">
        <v>34</v>
      </c>
      <c r="Q266" s="42" t="s">
        <v>73</v>
      </c>
      <c r="R266" s="1"/>
      <c r="S266" s="1"/>
      <c r="T266" s="1"/>
      <c r="U266" s="1"/>
      <c r="V266" s="1"/>
      <c r="W266" s="1"/>
      <c r="X266" s="1"/>
      <c r="Y266" s="1"/>
      <c r="Z266" s="1"/>
      <c r="AA266" s="1"/>
      <c r="AB266" s="1"/>
      <c r="AC266" s="1"/>
      <c r="AD266" s="1"/>
      <c r="AE266" s="1"/>
    </row>
    <row r="267" spans="1:31" ht="25" x14ac:dyDescent="0.25">
      <c r="A267" s="1"/>
      <c r="B267" s="128"/>
      <c r="C267" s="43" t="s">
        <v>74</v>
      </c>
      <c r="D267" s="44" t="s">
        <v>25</v>
      </c>
      <c r="E267" s="46" t="s">
        <v>32</v>
      </c>
      <c r="F267" s="46">
        <v>1</v>
      </c>
      <c r="G267" s="45">
        <v>45879</v>
      </c>
      <c r="H267" s="47"/>
      <c r="I267" s="48"/>
      <c r="J267" s="47"/>
      <c r="K267" s="48"/>
      <c r="L267" s="46">
        <v>0</v>
      </c>
      <c r="M267" s="46" t="s">
        <v>25</v>
      </c>
      <c r="N267" s="46" t="s">
        <v>30</v>
      </c>
      <c r="O267" s="43" t="s">
        <v>75</v>
      </c>
      <c r="P267" s="51" t="s">
        <v>76</v>
      </c>
      <c r="Q267" s="49" t="s">
        <v>77</v>
      </c>
      <c r="R267" s="1"/>
      <c r="S267" s="1"/>
      <c r="T267" s="1"/>
      <c r="U267" s="1"/>
      <c r="V267" s="1"/>
      <c r="W267" s="1"/>
      <c r="X267" s="1"/>
      <c r="Y267" s="1"/>
      <c r="Z267" s="1"/>
      <c r="AA267" s="1"/>
      <c r="AB267" s="1"/>
      <c r="AC267" s="1"/>
      <c r="AD267" s="1"/>
      <c r="AE267" s="1"/>
    </row>
    <row r="268" spans="1:31" ht="25" x14ac:dyDescent="0.25">
      <c r="A268" s="1"/>
      <c r="B268" s="128"/>
      <c r="C268" s="36" t="s">
        <v>78</v>
      </c>
      <c r="D268" s="37" t="s">
        <v>25</v>
      </c>
      <c r="E268" s="39" t="s">
        <v>32</v>
      </c>
      <c r="F268" s="39">
        <v>2</v>
      </c>
      <c r="G268" s="38">
        <v>45816</v>
      </c>
      <c r="H268" s="40"/>
      <c r="I268" s="41"/>
      <c r="J268" s="40"/>
      <c r="K268" s="41"/>
      <c r="L268" s="39">
        <v>0</v>
      </c>
      <c r="M268" s="39">
        <v>0</v>
      </c>
      <c r="N268" s="39" t="s">
        <v>30</v>
      </c>
      <c r="O268" s="50" t="s">
        <v>79</v>
      </c>
      <c r="P268" s="50" t="s">
        <v>80</v>
      </c>
      <c r="Q268" s="42" t="s">
        <v>81</v>
      </c>
      <c r="R268" s="1"/>
      <c r="S268" s="1"/>
      <c r="T268" s="1"/>
      <c r="U268" s="1"/>
      <c r="V268" s="1"/>
      <c r="W268" s="1"/>
      <c r="X268" s="1"/>
      <c r="Y268" s="1"/>
      <c r="Z268" s="1"/>
      <c r="AA268" s="1"/>
      <c r="AB268" s="1"/>
      <c r="AC268" s="1"/>
      <c r="AD268" s="1"/>
      <c r="AE268" s="1"/>
    </row>
    <row r="269" spans="1:31" ht="37.5" x14ac:dyDescent="0.25">
      <c r="A269" s="1"/>
      <c r="B269" s="130" t="s">
        <v>143</v>
      </c>
      <c r="C269" s="29" t="s">
        <v>48</v>
      </c>
      <c r="D269" s="30" t="s">
        <v>133</v>
      </c>
      <c r="E269" s="31">
        <v>45659</v>
      </c>
      <c r="F269" s="32">
        <v>2</v>
      </c>
      <c r="G269" s="31">
        <v>45879</v>
      </c>
      <c r="H269" s="33"/>
      <c r="I269" s="34"/>
      <c r="J269" s="33"/>
      <c r="K269" s="34"/>
      <c r="L269" s="32">
        <v>0</v>
      </c>
      <c r="M269" s="32">
        <v>0</v>
      </c>
      <c r="N269" s="32" t="s">
        <v>30</v>
      </c>
      <c r="O269" s="29" t="s">
        <v>49</v>
      </c>
      <c r="P269" s="29" t="s">
        <v>50</v>
      </c>
      <c r="Q269" s="35" t="s">
        <v>51</v>
      </c>
      <c r="R269" s="1"/>
      <c r="S269" s="1"/>
      <c r="T269" s="1"/>
      <c r="U269" s="1"/>
      <c r="V269" s="1"/>
      <c r="W269" s="1"/>
      <c r="X269" s="1"/>
      <c r="Y269" s="1"/>
      <c r="Z269" s="1"/>
      <c r="AA269" s="1"/>
      <c r="AB269" s="1"/>
      <c r="AC269" s="1"/>
      <c r="AD269" s="1"/>
      <c r="AE269" s="1"/>
    </row>
    <row r="270" spans="1:31" ht="37.5" x14ac:dyDescent="0.25">
      <c r="A270" s="1"/>
      <c r="B270" s="128"/>
      <c r="C270" s="36" t="s">
        <v>82</v>
      </c>
      <c r="D270" s="37" t="s">
        <v>25</v>
      </c>
      <c r="E270" s="38">
        <v>45691</v>
      </c>
      <c r="F270" s="39">
        <v>2</v>
      </c>
      <c r="G270" s="38">
        <v>45816</v>
      </c>
      <c r="H270" s="40"/>
      <c r="I270" s="41"/>
      <c r="J270" s="40"/>
      <c r="K270" s="41"/>
      <c r="L270" s="39">
        <v>2</v>
      </c>
      <c r="M270" s="39">
        <v>1</v>
      </c>
      <c r="N270" s="39" t="s">
        <v>37</v>
      </c>
      <c r="O270" s="36" t="s">
        <v>83</v>
      </c>
      <c r="P270" s="36" t="s">
        <v>84</v>
      </c>
      <c r="Q270" s="42" t="s">
        <v>85</v>
      </c>
      <c r="R270" s="1"/>
      <c r="S270" s="1"/>
      <c r="T270" s="1"/>
      <c r="U270" s="1"/>
      <c r="V270" s="1"/>
      <c r="W270" s="1"/>
      <c r="X270" s="1"/>
      <c r="Y270" s="1"/>
      <c r="Z270" s="1"/>
      <c r="AA270" s="1"/>
      <c r="AB270" s="1"/>
      <c r="AC270" s="1"/>
      <c r="AD270" s="1"/>
      <c r="AE270" s="1"/>
    </row>
    <row r="271" spans="1:31" x14ac:dyDescent="0.25">
      <c r="A271" s="1"/>
      <c r="B271" s="128"/>
      <c r="C271" s="43" t="s">
        <v>86</v>
      </c>
      <c r="D271" s="44" t="s">
        <v>25</v>
      </c>
      <c r="E271" s="45">
        <v>45692</v>
      </c>
      <c r="F271" s="46">
        <v>2</v>
      </c>
      <c r="G271" s="45">
        <v>45816</v>
      </c>
      <c r="H271" s="47"/>
      <c r="I271" s="48"/>
      <c r="J271" s="47"/>
      <c r="K271" s="48"/>
      <c r="L271" s="46">
        <v>1</v>
      </c>
      <c r="M271" s="46">
        <v>0</v>
      </c>
      <c r="N271" s="46" t="s">
        <v>37</v>
      </c>
      <c r="O271" s="43" t="s">
        <v>87</v>
      </c>
      <c r="P271" s="43" t="s">
        <v>88</v>
      </c>
      <c r="Q271" s="49" t="s">
        <v>89</v>
      </c>
      <c r="R271" s="1"/>
      <c r="S271" s="1"/>
      <c r="T271" s="1"/>
      <c r="U271" s="1"/>
      <c r="V271" s="1"/>
      <c r="W271" s="1"/>
      <c r="X271" s="1"/>
      <c r="Y271" s="1"/>
      <c r="Z271" s="1"/>
      <c r="AA271" s="1"/>
      <c r="AB271" s="1"/>
      <c r="AC271" s="1"/>
      <c r="AD271" s="1"/>
      <c r="AE271" s="1"/>
    </row>
    <row r="272" spans="1:31" ht="25" x14ac:dyDescent="0.25">
      <c r="A272" s="1"/>
      <c r="B272" s="128"/>
      <c r="C272" s="36" t="s">
        <v>90</v>
      </c>
      <c r="D272" s="37" t="s">
        <v>25</v>
      </c>
      <c r="E272" s="38">
        <v>45692</v>
      </c>
      <c r="F272" s="39">
        <v>1</v>
      </c>
      <c r="G272" s="38">
        <v>45816</v>
      </c>
      <c r="H272" s="40"/>
      <c r="I272" s="41"/>
      <c r="J272" s="40"/>
      <c r="K272" s="41"/>
      <c r="L272" s="39">
        <v>0</v>
      </c>
      <c r="M272" s="39" t="s">
        <v>25</v>
      </c>
      <c r="N272" s="39" t="s">
        <v>37</v>
      </c>
      <c r="O272" s="36" t="s">
        <v>91</v>
      </c>
      <c r="P272" s="36" t="s">
        <v>92</v>
      </c>
      <c r="Q272" s="42" t="s">
        <v>93</v>
      </c>
      <c r="R272" s="1"/>
      <c r="S272" s="1"/>
      <c r="T272" s="1"/>
      <c r="U272" s="1"/>
      <c r="V272" s="1"/>
      <c r="W272" s="1"/>
      <c r="X272" s="1"/>
      <c r="Y272" s="1"/>
      <c r="Z272" s="1"/>
      <c r="AA272" s="1"/>
      <c r="AB272" s="1"/>
      <c r="AC272" s="1"/>
      <c r="AD272" s="1"/>
      <c r="AE272" s="1"/>
    </row>
    <row r="273" spans="1:31" ht="37.5" x14ac:dyDescent="0.25">
      <c r="A273" s="1"/>
      <c r="B273" s="131"/>
      <c r="C273" s="64" t="s">
        <v>52</v>
      </c>
      <c r="D273" s="65" t="s">
        <v>133</v>
      </c>
      <c r="E273" s="66" t="s">
        <v>32</v>
      </c>
      <c r="F273" s="66">
        <v>2</v>
      </c>
      <c r="G273" s="69">
        <v>45879</v>
      </c>
      <c r="H273" s="67"/>
      <c r="I273" s="68"/>
      <c r="J273" s="67"/>
      <c r="K273" s="68"/>
      <c r="L273" s="66">
        <v>0</v>
      </c>
      <c r="M273" s="66">
        <v>0</v>
      </c>
      <c r="N273" s="66" t="s">
        <v>30</v>
      </c>
      <c r="O273" s="64" t="s">
        <v>53</v>
      </c>
      <c r="P273" s="64" t="s">
        <v>54</v>
      </c>
      <c r="Q273" s="70" t="s">
        <v>55</v>
      </c>
      <c r="R273" s="1"/>
      <c r="S273" s="1"/>
      <c r="T273" s="1"/>
      <c r="U273" s="1"/>
      <c r="V273" s="1"/>
      <c r="W273" s="1"/>
      <c r="X273" s="1"/>
      <c r="Y273" s="1"/>
      <c r="Z273" s="1"/>
      <c r="AA273" s="1"/>
      <c r="AB273" s="1"/>
      <c r="AC273" s="1"/>
      <c r="AD273" s="1"/>
      <c r="AE273" s="1"/>
    </row>
    <row r="274" spans="1:31" ht="37.5" x14ac:dyDescent="0.25">
      <c r="A274" s="1"/>
      <c r="B274" s="130" t="s">
        <v>94</v>
      </c>
      <c r="C274" s="36" t="s">
        <v>95</v>
      </c>
      <c r="D274" s="37" t="s">
        <v>25</v>
      </c>
      <c r="E274" s="39" t="s">
        <v>32</v>
      </c>
      <c r="F274" s="39">
        <v>2</v>
      </c>
      <c r="G274" s="38">
        <v>45816</v>
      </c>
      <c r="H274" s="40"/>
      <c r="I274" s="41"/>
      <c r="J274" s="40"/>
      <c r="K274" s="41"/>
      <c r="L274" s="39">
        <v>0</v>
      </c>
      <c r="M274" s="39">
        <v>0</v>
      </c>
      <c r="N274" s="39" t="s">
        <v>30</v>
      </c>
      <c r="O274" s="36" t="s">
        <v>96</v>
      </c>
      <c r="P274" s="36" t="s">
        <v>97</v>
      </c>
      <c r="Q274" s="42" t="s">
        <v>98</v>
      </c>
      <c r="R274" s="1"/>
      <c r="S274" s="1"/>
      <c r="T274" s="1"/>
      <c r="U274" s="1"/>
      <c r="V274" s="1"/>
      <c r="W274" s="1"/>
      <c r="X274" s="1"/>
      <c r="Y274" s="1"/>
      <c r="Z274" s="1"/>
      <c r="AA274" s="1"/>
      <c r="AB274" s="1"/>
      <c r="AC274" s="1"/>
      <c r="AD274" s="1"/>
      <c r="AE274" s="1"/>
    </row>
    <row r="275" spans="1:31" ht="25" x14ac:dyDescent="0.25">
      <c r="A275" s="1"/>
      <c r="B275" s="128"/>
      <c r="C275" s="43" t="s">
        <v>99</v>
      </c>
      <c r="D275" s="44" t="s">
        <v>25</v>
      </c>
      <c r="E275" s="46" t="s">
        <v>32</v>
      </c>
      <c r="F275" s="46">
        <v>2</v>
      </c>
      <c r="G275" s="45">
        <v>45879</v>
      </c>
      <c r="H275" s="47"/>
      <c r="I275" s="48"/>
      <c r="J275" s="47"/>
      <c r="K275" s="48"/>
      <c r="L275" s="46">
        <v>0</v>
      </c>
      <c r="M275" s="46">
        <v>0</v>
      </c>
      <c r="N275" s="46" t="s">
        <v>30</v>
      </c>
      <c r="O275" s="43" t="s">
        <v>100</v>
      </c>
      <c r="P275" s="43" t="s">
        <v>101</v>
      </c>
      <c r="Q275" s="49" t="s">
        <v>102</v>
      </c>
      <c r="R275" s="1"/>
      <c r="S275" s="1"/>
      <c r="T275" s="1"/>
      <c r="U275" s="1"/>
      <c r="V275" s="1"/>
      <c r="W275" s="1"/>
      <c r="X275" s="1"/>
      <c r="Y275" s="1"/>
      <c r="Z275" s="1"/>
      <c r="AA275" s="1"/>
      <c r="AB275" s="1"/>
      <c r="AC275" s="1"/>
      <c r="AD275" s="1"/>
      <c r="AE275" s="1"/>
    </row>
    <row r="276" spans="1:31" ht="25" x14ac:dyDescent="0.25">
      <c r="A276" s="1"/>
      <c r="B276" s="128"/>
      <c r="C276" s="36" t="s">
        <v>103</v>
      </c>
      <c r="D276" s="37" t="s">
        <v>25</v>
      </c>
      <c r="E276" s="39" t="s">
        <v>32</v>
      </c>
      <c r="F276" s="39">
        <v>1</v>
      </c>
      <c r="G276" s="38">
        <v>45879</v>
      </c>
      <c r="H276" s="40"/>
      <c r="I276" s="41"/>
      <c r="J276" s="40"/>
      <c r="K276" s="41"/>
      <c r="L276" s="39">
        <v>0</v>
      </c>
      <c r="M276" s="39" t="s">
        <v>25</v>
      </c>
      <c r="N276" s="39" t="s">
        <v>30</v>
      </c>
      <c r="O276" s="36" t="s">
        <v>104</v>
      </c>
      <c r="P276" s="36" t="s">
        <v>105</v>
      </c>
      <c r="Q276" s="42" t="s">
        <v>106</v>
      </c>
      <c r="R276" s="1"/>
      <c r="S276" s="1"/>
      <c r="T276" s="1"/>
      <c r="U276" s="1"/>
      <c r="V276" s="1"/>
      <c r="W276" s="1"/>
      <c r="X276" s="1"/>
      <c r="Y276" s="1"/>
      <c r="Z276" s="1"/>
      <c r="AA276" s="1"/>
      <c r="AB276" s="1"/>
      <c r="AC276" s="1"/>
      <c r="AD276" s="1"/>
      <c r="AE276" s="1"/>
    </row>
    <row r="277" spans="1:31" x14ac:dyDescent="0.25">
      <c r="A277" s="1"/>
      <c r="B277" s="128"/>
      <c r="C277" s="43" t="s">
        <v>107</v>
      </c>
      <c r="D277" s="44" t="s">
        <v>132</v>
      </c>
      <c r="E277" s="46" t="s">
        <v>32</v>
      </c>
      <c r="F277" s="46">
        <v>2</v>
      </c>
      <c r="G277" s="45">
        <v>45879</v>
      </c>
      <c r="H277" s="47"/>
      <c r="I277" s="48"/>
      <c r="J277" s="47"/>
      <c r="K277" s="48"/>
      <c r="L277" s="46">
        <v>0</v>
      </c>
      <c r="M277" s="46">
        <v>0</v>
      </c>
      <c r="N277" s="46" t="s">
        <v>30</v>
      </c>
      <c r="O277" s="43" t="s">
        <v>108</v>
      </c>
      <c r="P277" s="43" t="s">
        <v>109</v>
      </c>
      <c r="Q277" s="49" t="s">
        <v>110</v>
      </c>
      <c r="R277" s="1"/>
      <c r="S277" s="1"/>
      <c r="T277" s="1"/>
      <c r="U277" s="1"/>
      <c r="V277" s="1"/>
      <c r="W277" s="1"/>
      <c r="X277" s="1"/>
      <c r="Y277" s="1"/>
      <c r="Z277" s="1"/>
      <c r="AA277" s="1"/>
      <c r="AB277" s="1"/>
      <c r="AC277" s="1"/>
      <c r="AD277" s="1"/>
      <c r="AE277" s="1"/>
    </row>
    <row r="278" spans="1:31" x14ac:dyDescent="0.25">
      <c r="A278" s="1"/>
      <c r="B278" s="128"/>
      <c r="C278" s="36" t="s">
        <v>111</v>
      </c>
      <c r="D278" s="37" t="s">
        <v>25</v>
      </c>
      <c r="E278" s="39" t="s">
        <v>32</v>
      </c>
      <c r="F278" s="39">
        <v>2</v>
      </c>
      <c r="G278" s="38">
        <v>45879</v>
      </c>
      <c r="H278" s="40"/>
      <c r="I278" s="41"/>
      <c r="J278" s="40"/>
      <c r="K278" s="41"/>
      <c r="L278" s="39">
        <v>0</v>
      </c>
      <c r="M278" s="39">
        <v>0</v>
      </c>
      <c r="N278" s="39" t="s">
        <v>30</v>
      </c>
      <c r="O278" s="36" t="s">
        <v>112</v>
      </c>
      <c r="P278" s="37" t="s">
        <v>25</v>
      </c>
      <c r="Q278" s="42" t="s">
        <v>113</v>
      </c>
      <c r="R278" s="1"/>
      <c r="S278" s="1"/>
      <c r="T278" s="1"/>
      <c r="U278" s="1"/>
      <c r="V278" s="1"/>
      <c r="W278" s="1"/>
      <c r="X278" s="1"/>
      <c r="Y278" s="1"/>
      <c r="Z278" s="1"/>
      <c r="AA278" s="1"/>
      <c r="AB278" s="1"/>
      <c r="AC278" s="1"/>
      <c r="AD278" s="1"/>
      <c r="AE278" s="1"/>
    </row>
    <row r="279" spans="1:31" x14ac:dyDescent="0.25">
      <c r="A279" s="1"/>
      <c r="B279" s="128"/>
      <c r="C279" s="43" t="s">
        <v>114</v>
      </c>
      <c r="D279" s="44" t="s">
        <v>25</v>
      </c>
      <c r="E279" s="46" t="s">
        <v>32</v>
      </c>
      <c r="F279" s="46">
        <v>2</v>
      </c>
      <c r="G279" s="45">
        <v>45879</v>
      </c>
      <c r="H279" s="47"/>
      <c r="I279" s="48"/>
      <c r="J279" s="47"/>
      <c r="K279" s="48"/>
      <c r="L279" s="46">
        <v>0</v>
      </c>
      <c r="M279" s="46">
        <v>0</v>
      </c>
      <c r="N279" s="46" t="s">
        <v>30</v>
      </c>
      <c r="O279" s="43" t="s">
        <v>115</v>
      </c>
      <c r="P279" s="44" t="s">
        <v>25</v>
      </c>
      <c r="Q279" s="49" t="s">
        <v>113</v>
      </c>
      <c r="R279" s="1"/>
      <c r="S279" s="1"/>
      <c r="T279" s="1"/>
      <c r="U279" s="1"/>
      <c r="V279" s="1"/>
      <c r="W279" s="1"/>
      <c r="X279" s="1"/>
      <c r="Y279" s="1"/>
      <c r="Z279" s="1"/>
      <c r="AA279" s="1"/>
      <c r="AB279" s="1"/>
      <c r="AC279" s="1"/>
      <c r="AD279" s="1"/>
      <c r="AE279" s="1"/>
    </row>
    <row r="280" spans="1:31" x14ac:dyDescent="0.25">
      <c r="A280" s="1"/>
      <c r="B280" s="128"/>
      <c r="C280" s="36" t="s">
        <v>116</v>
      </c>
      <c r="D280" s="37" t="s">
        <v>132</v>
      </c>
      <c r="E280" s="39" t="s">
        <v>32</v>
      </c>
      <c r="F280" s="39">
        <v>1</v>
      </c>
      <c r="G280" s="38">
        <v>45816</v>
      </c>
      <c r="H280" s="40"/>
      <c r="I280" s="41"/>
      <c r="J280" s="40"/>
      <c r="K280" s="41"/>
      <c r="L280" s="39">
        <v>0</v>
      </c>
      <c r="M280" s="39" t="s">
        <v>25</v>
      </c>
      <c r="N280" s="39" t="s">
        <v>30</v>
      </c>
      <c r="O280" s="36" t="s">
        <v>117</v>
      </c>
      <c r="P280" s="36" t="s">
        <v>118</v>
      </c>
      <c r="Q280" s="42" t="s">
        <v>119</v>
      </c>
      <c r="R280" s="1"/>
      <c r="S280" s="1"/>
      <c r="T280" s="1"/>
      <c r="U280" s="1"/>
      <c r="V280" s="1"/>
      <c r="W280" s="1"/>
      <c r="X280" s="1"/>
      <c r="Y280" s="1"/>
      <c r="Z280" s="1"/>
      <c r="AA280" s="1"/>
      <c r="AB280" s="1"/>
      <c r="AC280" s="1"/>
      <c r="AD280" s="1"/>
      <c r="AE280" s="1"/>
    </row>
    <row r="281" spans="1:31" ht="25" x14ac:dyDescent="0.25">
      <c r="A281" s="1"/>
      <c r="B281" s="128"/>
      <c r="C281" s="43" t="s">
        <v>34</v>
      </c>
      <c r="D281" s="44" t="s">
        <v>134</v>
      </c>
      <c r="E281" s="46" t="s">
        <v>32</v>
      </c>
      <c r="F281" s="46">
        <v>2</v>
      </c>
      <c r="G281" s="45">
        <v>45879</v>
      </c>
      <c r="H281" s="47"/>
      <c r="I281" s="46"/>
      <c r="J281" s="47"/>
      <c r="K281" s="48"/>
      <c r="L281" s="46">
        <v>0</v>
      </c>
      <c r="M281" s="46">
        <v>0</v>
      </c>
      <c r="N281" s="46" t="s">
        <v>30</v>
      </c>
      <c r="O281" s="43" t="s">
        <v>71</v>
      </c>
      <c r="P281" s="43" t="s">
        <v>72</v>
      </c>
      <c r="Q281" s="49" t="s">
        <v>120</v>
      </c>
      <c r="R281" s="1"/>
      <c r="S281" s="1"/>
      <c r="T281" s="1"/>
      <c r="U281" s="1"/>
      <c r="V281" s="1"/>
      <c r="W281" s="1"/>
      <c r="X281" s="1"/>
      <c r="Y281" s="1"/>
      <c r="Z281" s="1"/>
      <c r="AA281" s="1"/>
      <c r="AB281" s="1"/>
      <c r="AC281" s="1"/>
      <c r="AD281" s="1"/>
      <c r="AE281" s="1"/>
    </row>
    <row r="282" spans="1:31" x14ac:dyDescent="0.25">
      <c r="A282" s="1"/>
      <c r="B282" s="131"/>
      <c r="C282" s="59" t="s">
        <v>121</v>
      </c>
      <c r="D282" s="60" t="s">
        <v>25</v>
      </c>
      <c r="E282" s="61" t="s">
        <v>32</v>
      </c>
      <c r="F282" s="61">
        <v>2</v>
      </c>
      <c r="G282" s="61" t="s">
        <v>25</v>
      </c>
      <c r="H282" s="62"/>
      <c r="I282" s="61"/>
      <c r="J282" s="62"/>
      <c r="K282" s="63"/>
      <c r="L282" s="61">
        <v>0</v>
      </c>
      <c r="M282" s="61">
        <v>0</v>
      </c>
      <c r="N282" s="61" t="s">
        <v>30</v>
      </c>
      <c r="O282" s="60" t="s">
        <v>25</v>
      </c>
      <c r="P282" s="60" t="s">
        <v>25</v>
      </c>
      <c r="Q282" s="71" t="s">
        <v>122</v>
      </c>
      <c r="R282" s="1"/>
      <c r="S282" s="1"/>
      <c r="T282" s="1"/>
      <c r="U282" s="1"/>
      <c r="V282" s="1"/>
      <c r="W282" s="1"/>
      <c r="X282" s="1"/>
      <c r="Y282" s="1"/>
      <c r="Z282" s="1"/>
      <c r="AA282" s="1"/>
      <c r="AB282" s="1"/>
      <c r="AC282" s="1"/>
      <c r="AD282" s="1"/>
      <c r="AE282" s="1"/>
    </row>
    <row r="283" spans="1:31" ht="13" x14ac:dyDescent="0.25">
      <c r="A283" s="1"/>
      <c r="B283" s="155" t="s">
        <v>141</v>
      </c>
      <c r="C283" s="156"/>
      <c r="D283" s="156"/>
      <c r="E283" s="156"/>
      <c r="F283" s="156"/>
      <c r="G283" s="156"/>
      <c r="H283" s="156"/>
      <c r="I283" s="156"/>
      <c r="J283" s="156"/>
      <c r="K283" s="156"/>
      <c r="L283" s="156"/>
      <c r="M283" s="156"/>
      <c r="N283" s="156"/>
      <c r="O283" s="156"/>
      <c r="P283" s="156"/>
      <c r="Q283" s="157"/>
      <c r="R283" s="1"/>
      <c r="S283" s="1"/>
      <c r="T283" s="1"/>
      <c r="U283" s="1"/>
      <c r="V283" s="1"/>
      <c r="W283" s="1"/>
      <c r="X283" s="1"/>
      <c r="Y283" s="1"/>
      <c r="Z283" s="1"/>
      <c r="AA283" s="1"/>
      <c r="AB283" s="1"/>
      <c r="AC283" s="1"/>
      <c r="AD283" s="1"/>
      <c r="AE283" s="1"/>
    </row>
    <row r="284" spans="1:31" x14ac:dyDescent="0.25">
      <c r="A284" s="1"/>
      <c r="B284" s="1"/>
      <c r="C284" s="5"/>
      <c r="D284" s="5"/>
      <c r="E284" s="1"/>
      <c r="F284" s="1"/>
      <c r="G284" s="1"/>
      <c r="H284" s="1"/>
      <c r="I284" s="1"/>
      <c r="J284" s="1"/>
      <c r="K284" s="1"/>
      <c r="L284" s="1"/>
      <c r="M284" s="1"/>
      <c r="N284" s="1"/>
      <c r="O284" s="5"/>
      <c r="P284" s="5"/>
      <c r="Q284" s="5"/>
      <c r="R284" s="1"/>
      <c r="S284" s="1"/>
      <c r="T284" s="1"/>
      <c r="U284" s="1"/>
      <c r="V284" s="1"/>
      <c r="W284" s="1"/>
      <c r="X284" s="1"/>
      <c r="Y284" s="1"/>
      <c r="Z284" s="1"/>
      <c r="AA284" s="1"/>
      <c r="AB284" s="1"/>
      <c r="AC284" s="1"/>
      <c r="AD284" s="1"/>
      <c r="AE284" s="1"/>
    </row>
    <row r="285" spans="1:31" x14ac:dyDescent="0.25">
      <c r="A285" s="1"/>
      <c r="B285" s="1"/>
      <c r="C285" s="5"/>
      <c r="D285" s="5"/>
      <c r="E285" s="1"/>
      <c r="F285" s="1"/>
      <c r="G285" s="1"/>
      <c r="H285" s="1"/>
      <c r="I285" s="1"/>
      <c r="J285" s="1"/>
      <c r="K285" s="1"/>
      <c r="L285" s="1"/>
      <c r="M285" s="1"/>
      <c r="N285" s="1"/>
      <c r="O285" s="5"/>
      <c r="P285" s="5"/>
      <c r="Q285" s="5"/>
      <c r="R285" s="1"/>
      <c r="S285" s="1"/>
      <c r="T285" s="1"/>
      <c r="U285" s="1"/>
      <c r="V285" s="1"/>
      <c r="W285" s="1"/>
      <c r="X285" s="1"/>
      <c r="Y285" s="1"/>
      <c r="Z285" s="1"/>
      <c r="AA285" s="1"/>
      <c r="AB285" s="1"/>
      <c r="AC285" s="1"/>
      <c r="AD285" s="1"/>
      <c r="AE285" s="1"/>
    </row>
    <row r="286" spans="1:31" x14ac:dyDescent="0.25">
      <c r="A286" s="1"/>
      <c r="B286" s="132" t="s">
        <v>136</v>
      </c>
      <c r="C286" s="135" t="s">
        <v>7</v>
      </c>
      <c r="D286" s="135" t="s">
        <v>8</v>
      </c>
      <c r="E286" s="135" t="s">
        <v>9</v>
      </c>
      <c r="F286" s="139" t="s">
        <v>10</v>
      </c>
      <c r="G286" s="142" t="s">
        <v>11</v>
      </c>
      <c r="H286" s="143" t="s">
        <v>12</v>
      </c>
      <c r="I286" s="144"/>
      <c r="J286" s="144"/>
      <c r="K286" s="145"/>
      <c r="L286" s="146" t="s">
        <v>13</v>
      </c>
      <c r="M286" s="147"/>
      <c r="N286" s="150" t="s">
        <v>14</v>
      </c>
      <c r="O286" s="138" t="s">
        <v>15</v>
      </c>
      <c r="P286" s="138" t="s">
        <v>16</v>
      </c>
      <c r="Q286" s="135" t="s">
        <v>17</v>
      </c>
      <c r="R286" s="1"/>
      <c r="S286" s="1"/>
      <c r="T286" s="1"/>
      <c r="U286" s="1"/>
      <c r="V286" s="1"/>
      <c r="W286" s="1"/>
      <c r="X286" s="1"/>
      <c r="Y286" s="1"/>
      <c r="Z286" s="1"/>
      <c r="AA286" s="1"/>
      <c r="AB286" s="1"/>
      <c r="AC286" s="1"/>
      <c r="AD286" s="1"/>
      <c r="AE286" s="1"/>
    </row>
    <row r="287" spans="1:31" x14ac:dyDescent="0.25">
      <c r="A287" s="1"/>
      <c r="B287" s="133"/>
      <c r="C287" s="136"/>
      <c r="D287" s="136"/>
      <c r="E287" s="136"/>
      <c r="F287" s="140"/>
      <c r="G287" s="128"/>
      <c r="H287" s="152" t="s">
        <v>18</v>
      </c>
      <c r="I287" s="153"/>
      <c r="J287" s="154" t="s">
        <v>19</v>
      </c>
      <c r="K287" s="153"/>
      <c r="L287" s="148"/>
      <c r="M287" s="149"/>
      <c r="N287" s="149"/>
      <c r="O287" s="136"/>
      <c r="P287" s="136"/>
      <c r="Q287" s="136"/>
      <c r="R287" s="1"/>
      <c r="S287" s="1"/>
      <c r="T287" s="1"/>
      <c r="U287" s="1"/>
      <c r="V287" s="1"/>
      <c r="W287" s="1"/>
      <c r="X287" s="1"/>
      <c r="Y287" s="1"/>
      <c r="Z287" s="1"/>
      <c r="AA287" s="1"/>
      <c r="AB287" s="1"/>
      <c r="AC287" s="1"/>
      <c r="AD287" s="1"/>
      <c r="AE287" s="1"/>
    </row>
    <row r="288" spans="1:31" ht="13" x14ac:dyDescent="0.25">
      <c r="A288" s="1"/>
      <c r="B288" s="134"/>
      <c r="C288" s="137"/>
      <c r="D288" s="137"/>
      <c r="E288" s="137"/>
      <c r="F288" s="141"/>
      <c r="G288" s="128"/>
      <c r="H288" s="9" t="s">
        <v>20</v>
      </c>
      <c r="I288" s="10" t="s">
        <v>21</v>
      </c>
      <c r="J288" s="11" t="s">
        <v>20</v>
      </c>
      <c r="K288" s="10" t="s">
        <v>21</v>
      </c>
      <c r="L288" s="12" t="s">
        <v>22</v>
      </c>
      <c r="M288" s="12" t="s">
        <v>23</v>
      </c>
      <c r="N288" s="151"/>
      <c r="O288" s="137"/>
      <c r="P288" s="137"/>
      <c r="Q288" s="137"/>
      <c r="R288" s="1"/>
      <c r="S288" s="1"/>
      <c r="T288" s="1"/>
      <c r="U288" s="1"/>
      <c r="V288" s="1"/>
      <c r="W288" s="1"/>
      <c r="X288" s="1"/>
      <c r="Y288" s="1"/>
      <c r="Z288" s="1"/>
      <c r="AA288" s="1"/>
      <c r="AB288" s="1"/>
      <c r="AC288" s="1"/>
      <c r="AD288" s="1"/>
      <c r="AE288" s="1"/>
    </row>
    <row r="289" spans="1:31" ht="25" x14ac:dyDescent="0.25">
      <c r="A289" s="1"/>
      <c r="B289" s="127" t="s">
        <v>140</v>
      </c>
      <c r="C289" s="13" t="s">
        <v>41</v>
      </c>
      <c r="D289" s="14" t="s">
        <v>133</v>
      </c>
      <c r="E289" s="15">
        <v>45659</v>
      </c>
      <c r="F289" s="14">
        <v>2</v>
      </c>
      <c r="G289" s="15">
        <v>45816</v>
      </c>
      <c r="H289" s="16"/>
      <c r="I289" s="17"/>
      <c r="J289" s="18"/>
      <c r="K289" s="17"/>
      <c r="L289" s="14">
        <v>0</v>
      </c>
      <c r="M289" s="14">
        <v>0</v>
      </c>
      <c r="N289" s="14" t="s">
        <v>30</v>
      </c>
      <c r="O289" s="13" t="s">
        <v>42</v>
      </c>
      <c r="P289" s="13" t="s">
        <v>43</v>
      </c>
      <c r="Q289" s="19" t="s">
        <v>44</v>
      </c>
      <c r="R289" s="1"/>
      <c r="S289" s="1"/>
      <c r="T289" s="1"/>
      <c r="U289" s="1"/>
      <c r="V289" s="1"/>
      <c r="W289" s="1"/>
      <c r="X289" s="1"/>
      <c r="Y289" s="1"/>
      <c r="Z289" s="1"/>
      <c r="AA289" s="1"/>
      <c r="AB289" s="1"/>
      <c r="AC289" s="1"/>
      <c r="AD289" s="1"/>
      <c r="AE289" s="1"/>
    </row>
    <row r="290" spans="1:31" ht="25" x14ac:dyDescent="0.25">
      <c r="A290" s="1"/>
      <c r="B290" s="128"/>
      <c r="C290" s="90" t="s">
        <v>45</v>
      </c>
      <c r="D290" s="21" t="s">
        <v>25</v>
      </c>
      <c r="E290" s="22">
        <v>45692</v>
      </c>
      <c r="F290" s="21">
        <v>2</v>
      </c>
      <c r="G290" s="22">
        <v>45816</v>
      </c>
      <c r="H290" s="23"/>
      <c r="I290" s="24"/>
      <c r="J290" s="25"/>
      <c r="K290" s="24"/>
      <c r="L290" s="21">
        <v>1</v>
      </c>
      <c r="M290" s="21">
        <v>0</v>
      </c>
      <c r="N290" s="21" t="s">
        <v>26</v>
      </c>
      <c r="O290" s="21" t="s">
        <v>46</v>
      </c>
      <c r="P290" s="21" t="s">
        <v>46</v>
      </c>
      <c r="Q290" s="26" t="s">
        <v>47</v>
      </c>
      <c r="R290" s="1"/>
      <c r="S290" s="1"/>
      <c r="T290" s="1"/>
      <c r="U290" s="1"/>
      <c r="V290" s="1"/>
      <c r="W290" s="1"/>
      <c r="X290" s="1"/>
      <c r="Y290" s="1"/>
      <c r="Z290" s="1"/>
      <c r="AA290" s="1"/>
      <c r="AB290" s="1"/>
      <c r="AC290" s="1"/>
      <c r="AD290" s="1"/>
      <c r="AE290" s="1"/>
    </row>
    <row r="291" spans="1:31" ht="25" x14ac:dyDescent="0.25">
      <c r="A291" s="1"/>
      <c r="B291" s="128"/>
      <c r="C291" s="20" t="s">
        <v>24</v>
      </c>
      <c r="D291" s="21" t="s">
        <v>25</v>
      </c>
      <c r="E291" s="22">
        <v>45692</v>
      </c>
      <c r="F291" s="21">
        <v>2</v>
      </c>
      <c r="G291" s="22">
        <v>45816</v>
      </c>
      <c r="H291" s="23"/>
      <c r="I291" s="24"/>
      <c r="J291" s="25"/>
      <c r="K291" s="24"/>
      <c r="L291" s="21">
        <v>1</v>
      </c>
      <c r="M291" s="21">
        <v>0</v>
      </c>
      <c r="N291" s="21" t="s">
        <v>26</v>
      </c>
      <c r="O291" s="20" t="s">
        <v>27</v>
      </c>
      <c r="P291" s="20" t="s">
        <v>28</v>
      </c>
      <c r="Q291" s="26" t="s">
        <v>29</v>
      </c>
      <c r="R291" s="1"/>
      <c r="S291" s="1"/>
      <c r="T291" s="1"/>
      <c r="U291" s="1"/>
      <c r="V291" s="1"/>
      <c r="W291" s="1"/>
      <c r="X291" s="1"/>
      <c r="Y291" s="1"/>
      <c r="Z291" s="1"/>
      <c r="AA291" s="1"/>
      <c r="AB291" s="1"/>
      <c r="AC291" s="1"/>
      <c r="AD291" s="1"/>
      <c r="AE291" s="1"/>
    </row>
    <row r="292" spans="1:31" ht="25" x14ac:dyDescent="0.25">
      <c r="A292" s="1"/>
      <c r="B292" s="128"/>
      <c r="C292" s="20" t="s">
        <v>31</v>
      </c>
      <c r="D292" s="21" t="s">
        <v>25</v>
      </c>
      <c r="E292" s="21" t="s">
        <v>32</v>
      </c>
      <c r="F292" s="21">
        <v>1</v>
      </c>
      <c r="G292" s="22">
        <v>45879</v>
      </c>
      <c r="H292" s="23"/>
      <c r="I292" s="24"/>
      <c r="J292" s="25"/>
      <c r="K292" s="24"/>
      <c r="L292" s="21">
        <v>0</v>
      </c>
      <c r="M292" s="21" t="s">
        <v>25</v>
      </c>
      <c r="N292" s="21" t="s">
        <v>30</v>
      </c>
      <c r="O292" s="20" t="s">
        <v>33</v>
      </c>
      <c r="P292" s="20" t="s">
        <v>34</v>
      </c>
      <c r="Q292" s="26" t="s">
        <v>35</v>
      </c>
      <c r="R292" s="1"/>
      <c r="S292" s="1"/>
      <c r="T292" s="1"/>
      <c r="U292" s="1"/>
      <c r="V292" s="1"/>
      <c r="W292" s="1"/>
      <c r="X292" s="1"/>
      <c r="Y292" s="1"/>
      <c r="Z292" s="1"/>
      <c r="AA292" s="1"/>
      <c r="AB292" s="1"/>
      <c r="AC292" s="1"/>
      <c r="AD292" s="1"/>
      <c r="AE292" s="1"/>
    </row>
    <row r="293" spans="1:31" ht="25" x14ac:dyDescent="0.25">
      <c r="A293" s="1"/>
      <c r="B293" s="128"/>
      <c r="C293" s="20" t="s">
        <v>36</v>
      </c>
      <c r="D293" s="21" t="s">
        <v>133</v>
      </c>
      <c r="E293" s="22">
        <v>45659</v>
      </c>
      <c r="F293" s="21">
        <v>2</v>
      </c>
      <c r="G293" s="22">
        <v>45816</v>
      </c>
      <c r="H293" s="23"/>
      <c r="I293" s="24"/>
      <c r="J293" s="25"/>
      <c r="K293" s="24"/>
      <c r="L293" s="21">
        <v>1</v>
      </c>
      <c r="M293" s="21">
        <v>0</v>
      </c>
      <c r="N293" s="21" t="s">
        <v>37</v>
      </c>
      <c r="O293" s="20" t="s">
        <v>38</v>
      </c>
      <c r="P293" s="20" t="s">
        <v>39</v>
      </c>
      <c r="Q293" s="26" t="s">
        <v>40</v>
      </c>
      <c r="R293" s="1"/>
      <c r="S293" s="1"/>
      <c r="T293" s="1"/>
      <c r="U293" s="1"/>
      <c r="V293" s="1"/>
      <c r="W293" s="1"/>
      <c r="X293" s="1"/>
      <c r="Y293" s="1"/>
      <c r="Z293" s="1"/>
      <c r="AA293" s="1"/>
      <c r="AB293" s="1"/>
      <c r="AC293" s="1"/>
      <c r="AD293" s="1"/>
      <c r="AE293" s="1"/>
    </row>
    <row r="294" spans="1:31" ht="37.5" x14ac:dyDescent="0.25">
      <c r="A294" s="1"/>
      <c r="B294" s="129"/>
      <c r="C294" s="20" t="s">
        <v>52</v>
      </c>
      <c r="D294" s="21" t="s">
        <v>133</v>
      </c>
      <c r="E294" s="21" t="s">
        <v>32</v>
      </c>
      <c r="F294" s="21">
        <v>1</v>
      </c>
      <c r="G294" s="22">
        <v>45816</v>
      </c>
      <c r="H294" s="23"/>
      <c r="I294" s="24"/>
      <c r="J294" s="25"/>
      <c r="K294" s="24"/>
      <c r="L294" s="21">
        <v>0</v>
      </c>
      <c r="M294" s="21" t="s">
        <v>25</v>
      </c>
      <c r="N294" s="21" t="s">
        <v>30</v>
      </c>
      <c r="O294" s="20" t="s">
        <v>53</v>
      </c>
      <c r="P294" s="20" t="s">
        <v>54</v>
      </c>
      <c r="Q294" s="26" t="s">
        <v>55</v>
      </c>
      <c r="R294" s="1"/>
      <c r="S294" s="1"/>
      <c r="T294" s="1"/>
      <c r="U294" s="1"/>
      <c r="V294" s="1"/>
      <c r="W294" s="1"/>
      <c r="X294" s="1"/>
      <c r="Y294" s="1"/>
      <c r="Z294" s="1"/>
      <c r="AA294" s="1"/>
      <c r="AB294" s="1"/>
      <c r="AC294" s="1"/>
      <c r="AD294" s="1"/>
      <c r="AE294" s="1"/>
    </row>
    <row r="295" spans="1:31" ht="13" x14ac:dyDescent="0.25">
      <c r="A295" s="1"/>
      <c r="B295" s="155" t="s">
        <v>141</v>
      </c>
      <c r="C295" s="156"/>
      <c r="D295" s="156"/>
      <c r="E295" s="156"/>
      <c r="F295" s="156"/>
      <c r="G295" s="156"/>
      <c r="H295" s="156"/>
      <c r="I295" s="156"/>
      <c r="J295" s="156"/>
      <c r="K295" s="156"/>
      <c r="L295" s="156"/>
      <c r="M295" s="156"/>
      <c r="N295" s="156"/>
      <c r="O295" s="156"/>
      <c r="P295" s="156"/>
      <c r="Q295" s="157"/>
      <c r="R295" s="1"/>
      <c r="S295" s="1"/>
      <c r="T295" s="1"/>
      <c r="U295" s="1"/>
      <c r="V295" s="1"/>
      <c r="W295" s="1"/>
      <c r="X295" s="1"/>
      <c r="Y295" s="1"/>
      <c r="Z295" s="1"/>
      <c r="AA295" s="1"/>
      <c r="AB295" s="1"/>
      <c r="AC295" s="1"/>
      <c r="AD295" s="1"/>
      <c r="AE295" s="1"/>
    </row>
    <row r="296" spans="1:31" ht="25" x14ac:dyDescent="0.25">
      <c r="A296" s="1"/>
      <c r="B296" s="130" t="s">
        <v>142</v>
      </c>
      <c r="C296" s="52" t="s">
        <v>56</v>
      </c>
      <c r="D296" s="53" t="s">
        <v>133</v>
      </c>
      <c r="E296" s="54">
        <v>45691</v>
      </c>
      <c r="F296" s="55">
        <v>2</v>
      </c>
      <c r="G296" s="54">
        <v>45879</v>
      </c>
      <c r="H296" s="56"/>
      <c r="I296" s="57"/>
      <c r="J296" s="56"/>
      <c r="K296" s="57"/>
      <c r="L296" s="55">
        <v>1</v>
      </c>
      <c r="M296" s="55">
        <v>0</v>
      </c>
      <c r="N296" s="55" t="s">
        <v>37</v>
      </c>
      <c r="O296" s="52" t="s">
        <v>57</v>
      </c>
      <c r="P296" s="52" t="s">
        <v>39</v>
      </c>
      <c r="Q296" s="58" t="s">
        <v>58</v>
      </c>
      <c r="R296" s="1"/>
      <c r="S296" s="1"/>
      <c r="T296" s="1"/>
      <c r="U296" s="1"/>
      <c r="V296" s="1"/>
      <c r="W296" s="1"/>
      <c r="X296" s="1"/>
      <c r="Y296" s="1"/>
      <c r="Z296" s="1"/>
      <c r="AA296" s="1"/>
      <c r="AB296" s="1"/>
      <c r="AC296" s="1"/>
      <c r="AD296" s="1"/>
      <c r="AE296" s="1"/>
    </row>
    <row r="297" spans="1:31" ht="25" x14ac:dyDescent="0.25">
      <c r="A297" s="1"/>
      <c r="B297" s="128"/>
      <c r="C297" s="43" t="s">
        <v>59</v>
      </c>
      <c r="D297" s="44" t="s">
        <v>132</v>
      </c>
      <c r="E297" s="45">
        <v>45691</v>
      </c>
      <c r="F297" s="46">
        <v>2</v>
      </c>
      <c r="G297" s="45">
        <v>45879</v>
      </c>
      <c r="H297" s="47"/>
      <c r="I297" s="48"/>
      <c r="J297" s="47"/>
      <c r="K297" s="48"/>
      <c r="L297" s="46">
        <v>1</v>
      </c>
      <c r="M297" s="46">
        <v>0</v>
      </c>
      <c r="N297" s="46" t="s">
        <v>37</v>
      </c>
      <c r="O297" s="43" t="s">
        <v>60</v>
      </c>
      <c r="P297" s="43" t="s">
        <v>61</v>
      </c>
      <c r="Q297" s="49" t="s">
        <v>62</v>
      </c>
      <c r="R297" s="1"/>
      <c r="S297" s="1"/>
      <c r="T297" s="1"/>
      <c r="U297" s="1"/>
      <c r="V297" s="1"/>
      <c r="W297" s="1"/>
      <c r="X297" s="1"/>
      <c r="Y297" s="1"/>
      <c r="Z297" s="1"/>
      <c r="AA297" s="1"/>
      <c r="AB297" s="1"/>
      <c r="AC297" s="1"/>
      <c r="AD297" s="1"/>
      <c r="AE297" s="1"/>
    </row>
    <row r="298" spans="1:31" x14ac:dyDescent="0.25">
      <c r="A298" s="1"/>
      <c r="B298" s="128"/>
      <c r="C298" s="36" t="s">
        <v>63</v>
      </c>
      <c r="D298" s="37" t="s">
        <v>25</v>
      </c>
      <c r="E298" s="38">
        <v>45659</v>
      </c>
      <c r="F298" s="39">
        <v>1</v>
      </c>
      <c r="G298" s="38">
        <v>45816</v>
      </c>
      <c r="H298" s="40"/>
      <c r="I298" s="41"/>
      <c r="J298" s="40"/>
      <c r="K298" s="41"/>
      <c r="L298" s="39">
        <v>0</v>
      </c>
      <c r="M298" s="39" t="s">
        <v>25</v>
      </c>
      <c r="N298" s="39" t="s">
        <v>30</v>
      </c>
      <c r="O298" s="36" t="s">
        <v>64</v>
      </c>
      <c r="P298" s="36" t="s">
        <v>65</v>
      </c>
      <c r="Q298" s="42" t="s">
        <v>66</v>
      </c>
      <c r="R298" s="1"/>
      <c r="S298" s="1"/>
      <c r="T298" s="1"/>
      <c r="U298" s="1"/>
      <c r="V298" s="1"/>
      <c r="W298" s="1"/>
      <c r="X298" s="1"/>
      <c r="Y298" s="1"/>
      <c r="Z298" s="1"/>
      <c r="AA298" s="1"/>
      <c r="AB298" s="1"/>
      <c r="AC298" s="1"/>
      <c r="AD298" s="1"/>
      <c r="AE298" s="1"/>
    </row>
    <row r="299" spans="1:31" ht="25" x14ac:dyDescent="0.25">
      <c r="A299" s="1"/>
      <c r="B299" s="128"/>
      <c r="C299" s="43" t="s">
        <v>67</v>
      </c>
      <c r="D299" s="44" t="s">
        <v>135</v>
      </c>
      <c r="E299" s="45">
        <v>45692</v>
      </c>
      <c r="F299" s="46">
        <v>2</v>
      </c>
      <c r="G299" s="45">
        <v>45879</v>
      </c>
      <c r="H299" s="47"/>
      <c r="I299" s="48"/>
      <c r="J299" s="47"/>
      <c r="K299" s="48"/>
      <c r="L299" s="46">
        <v>1</v>
      </c>
      <c r="M299" s="46">
        <v>0</v>
      </c>
      <c r="N299" s="46" t="s">
        <v>26</v>
      </c>
      <c r="O299" s="43" t="s">
        <v>68</v>
      </c>
      <c r="P299" s="43" t="s">
        <v>69</v>
      </c>
      <c r="Q299" s="49" t="s">
        <v>70</v>
      </c>
      <c r="R299" s="1"/>
      <c r="S299" s="1"/>
      <c r="T299" s="1"/>
      <c r="U299" s="1"/>
      <c r="V299" s="1"/>
      <c r="W299" s="1"/>
      <c r="X299" s="1"/>
      <c r="Y299" s="1"/>
      <c r="Z299" s="1"/>
      <c r="AA299" s="1"/>
      <c r="AB299" s="1"/>
      <c r="AC299" s="1"/>
      <c r="AD299" s="1"/>
      <c r="AE299" s="1"/>
    </row>
    <row r="300" spans="1:31" ht="25" x14ac:dyDescent="0.25">
      <c r="A300" s="1"/>
      <c r="B300" s="128"/>
      <c r="C300" s="36" t="s">
        <v>71</v>
      </c>
      <c r="D300" s="37" t="s">
        <v>25</v>
      </c>
      <c r="E300" s="39" t="s">
        <v>32</v>
      </c>
      <c r="F300" s="39">
        <v>2</v>
      </c>
      <c r="G300" s="38">
        <v>45879</v>
      </c>
      <c r="H300" s="40"/>
      <c r="I300" s="41"/>
      <c r="J300" s="40"/>
      <c r="K300" s="41"/>
      <c r="L300" s="39">
        <v>0</v>
      </c>
      <c r="M300" s="39">
        <v>0</v>
      </c>
      <c r="N300" s="39" t="s">
        <v>30</v>
      </c>
      <c r="O300" s="36" t="s">
        <v>72</v>
      </c>
      <c r="P300" s="36" t="s">
        <v>34</v>
      </c>
      <c r="Q300" s="42" t="s">
        <v>73</v>
      </c>
      <c r="R300" s="1"/>
      <c r="S300" s="1"/>
      <c r="T300" s="1"/>
      <c r="U300" s="1"/>
      <c r="V300" s="1"/>
      <c r="W300" s="1"/>
      <c r="X300" s="1"/>
      <c r="Y300" s="1"/>
      <c r="Z300" s="1"/>
      <c r="AA300" s="1"/>
      <c r="AB300" s="1"/>
      <c r="AC300" s="1"/>
      <c r="AD300" s="1"/>
      <c r="AE300" s="1"/>
    </row>
    <row r="301" spans="1:31" ht="25" x14ac:dyDescent="0.25">
      <c r="A301" s="1"/>
      <c r="B301" s="128"/>
      <c r="C301" s="43" t="s">
        <v>74</v>
      </c>
      <c r="D301" s="44" t="s">
        <v>25</v>
      </c>
      <c r="E301" s="46" t="s">
        <v>32</v>
      </c>
      <c r="F301" s="46">
        <v>1</v>
      </c>
      <c r="G301" s="45">
        <v>45879</v>
      </c>
      <c r="H301" s="47"/>
      <c r="I301" s="48"/>
      <c r="J301" s="47"/>
      <c r="K301" s="48"/>
      <c r="L301" s="46">
        <v>0</v>
      </c>
      <c r="M301" s="46" t="s">
        <v>25</v>
      </c>
      <c r="N301" s="46" t="s">
        <v>30</v>
      </c>
      <c r="O301" s="43" t="s">
        <v>75</v>
      </c>
      <c r="P301" s="51" t="s">
        <v>76</v>
      </c>
      <c r="Q301" s="49" t="s">
        <v>77</v>
      </c>
      <c r="R301" s="1"/>
      <c r="S301" s="1"/>
      <c r="T301" s="1"/>
      <c r="U301" s="1"/>
      <c r="V301" s="1"/>
      <c r="W301" s="1"/>
      <c r="X301" s="1"/>
      <c r="Y301" s="1"/>
      <c r="Z301" s="1"/>
      <c r="AA301" s="1"/>
      <c r="AB301" s="1"/>
      <c r="AC301" s="1"/>
      <c r="AD301" s="1"/>
      <c r="AE301" s="1"/>
    </row>
    <row r="302" spans="1:31" ht="25" x14ac:dyDescent="0.25">
      <c r="A302" s="1"/>
      <c r="B302" s="128"/>
      <c r="C302" s="36" t="s">
        <v>78</v>
      </c>
      <c r="D302" s="37" t="s">
        <v>25</v>
      </c>
      <c r="E302" s="39" t="s">
        <v>32</v>
      </c>
      <c r="F302" s="39">
        <v>2</v>
      </c>
      <c r="G302" s="38">
        <v>45816</v>
      </c>
      <c r="H302" s="40"/>
      <c r="I302" s="41"/>
      <c r="J302" s="40"/>
      <c r="K302" s="41"/>
      <c r="L302" s="39">
        <v>0</v>
      </c>
      <c r="M302" s="39">
        <v>0</v>
      </c>
      <c r="N302" s="39" t="s">
        <v>30</v>
      </c>
      <c r="O302" s="50" t="s">
        <v>79</v>
      </c>
      <c r="P302" s="50" t="s">
        <v>80</v>
      </c>
      <c r="Q302" s="42" t="s">
        <v>81</v>
      </c>
      <c r="R302" s="1"/>
      <c r="S302" s="1"/>
      <c r="T302" s="1"/>
      <c r="U302" s="1"/>
      <c r="V302" s="1"/>
      <c r="W302" s="1"/>
      <c r="X302" s="1"/>
      <c r="Y302" s="1"/>
      <c r="Z302" s="1"/>
      <c r="AA302" s="1"/>
      <c r="AB302" s="1"/>
      <c r="AC302" s="1"/>
      <c r="AD302" s="1"/>
      <c r="AE302" s="1"/>
    </row>
    <row r="303" spans="1:31" ht="37.5" x14ac:dyDescent="0.25">
      <c r="A303" s="1"/>
      <c r="B303" s="130" t="s">
        <v>143</v>
      </c>
      <c r="C303" s="29" t="s">
        <v>48</v>
      </c>
      <c r="D303" s="30" t="s">
        <v>133</v>
      </c>
      <c r="E303" s="31">
        <v>45659</v>
      </c>
      <c r="F303" s="32">
        <v>2</v>
      </c>
      <c r="G303" s="31">
        <v>45879</v>
      </c>
      <c r="H303" s="33"/>
      <c r="I303" s="34"/>
      <c r="J303" s="33"/>
      <c r="K303" s="34"/>
      <c r="L303" s="32">
        <v>0</v>
      </c>
      <c r="M303" s="32">
        <v>0</v>
      </c>
      <c r="N303" s="32" t="s">
        <v>30</v>
      </c>
      <c r="O303" s="29" t="s">
        <v>49</v>
      </c>
      <c r="P303" s="29" t="s">
        <v>50</v>
      </c>
      <c r="Q303" s="35" t="s">
        <v>51</v>
      </c>
      <c r="R303" s="1"/>
      <c r="S303" s="1"/>
      <c r="T303" s="1"/>
      <c r="U303" s="1"/>
      <c r="V303" s="1"/>
      <c r="W303" s="1"/>
      <c r="X303" s="1"/>
      <c r="Y303" s="1"/>
      <c r="Z303" s="1"/>
      <c r="AA303" s="1"/>
      <c r="AB303" s="1"/>
      <c r="AC303" s="1"/>
      <c r="AD303" s="1"/>
      <c r="AE303" s="1"/>
    </row>
    <row r="304" spans="1:31" ht="37.5" x14ac:dyDescent="0.25">
      <c r="A304" s="1"/>
      <c r="B304" s="128"/>
      <c r="C304" s="36" t="s">
        <v>82</v>
      </c>
      <c r="D304" s="37" t="s">
        <v>25</v>
      </c>
      <c r="E304" s="38">
        <v>45691</v>
      </c>
      <c r="F304" s="39">
        <v>2</v>
      </c>
      <c r="G304" s="38">
        <v>45816</v>
      </c>
      <c r="H304" s="40"/>
      <c r="I304" s="41"/>
      <c r="J304" s="40"/>
      <c r="K304" s="41"/>
      <c r="L304" s="39">
        <v>2</v>
      </c>
      <c r="M304" s="39">
        <v>1</v>
      </c>
      <c r="N304" s="39" t="s">
        <v>37</v>
      </c>
      <c r="O304" s="36" t="s">
        <v>83</v>
      </c>
      <c r="P304" s="36" t="s">
        <v>84</v>
      </c>
      <c r="Q304" s="42" t="s">
        <v>85</v>
      </c>
      <c r="R304" s="1"/>
      <c r="S304" s="1"/>
      <c r="T304" s="1"/>
      <c r="U304" s="1"/>
      <c r="V304" s="1"/>
      <c r="W304" s="1"/>
      <c r="X304" s="1"/>
      <c r="Y304" s="1"/>
      <c r="Z304" s="1"/>
      <c r="AA304" s="1"/>
      <c r="AB304" s="1"/>
      <c r="AC304" s="1"/>
      <c r="AD304" s="1"/>
      <c r="AE304" s="1"/>
    </row>
    <row r="305" spans="1:31" x14ac:dyDescent="0.25">
      <c r="A305" s="1"/>
      <c r="B305" s="128"/>
      <c r="C305" s="43" t="s">
        <v>86</v>
      </c>
      <c r="D305" s="44" t="s">
        <v>25</v>
      </c>
      <c r="E305" s="45">
        <v>45692</v>
      </c>
      <c r="F305" s="46">
        <v>2</v>
      </c>
      <c r="G305" s="45">
        <v>45816</v>
      </c>
      <c r="H305" s="47"/>
      <c r="I305" s="48"/>
      <c r="J305" s="47"/>
      <c r="K305" s="48"/>
      <c r="L305" s="46">
        <v>1</v>
      </c>
      <c r="M305" s="46">
        <v>0</v>
      </c>
      <c r="N305" s="46" t="s">
        <v>37</v>
      </c>
      <c r="O305" s="43" t="s">
        <v>87</v>
      </c>
      <c r="P305" s="43" t="s">
        <v>88</v>
      </c>
      <c r="Q305" s="49" t="s">
        <v>89</v>
      </c>
      <c r="R305" s="1"/>
      <c r="S305" s="1"/>
      <c r="T305" s="1"/>
      <c r="U305" s="1"/>
      <c r="V305" s="1"/>
      <c r="W305" s="1"/>
      <c r="X305" s="1"/>
      <c r="Y305" s="1"/>
      <c r="Z305" s="1"/>
      <c r="AA305" s="1"/>
      <c r="AB305" s="1"/>
      <c r="AC305" s="1"/>
      <c r="AD305" s="1"/>
      <c r="AE305" s="1"/>
    </row>
    <row r="306" spans="1:31" ht="25" x14ac:dyDescent="0.25">
      <c r="A306" s="1"/>
      <c r="B306" s="128"/>
      <c r="C306" s="36" t="s">
        <v>90</v>
      </c>
      <c r="D306" s="37" t="s">
        <v>25</v>
      </c>
      <c r="E306" s="38">
        <v>45692</v>
      </c>
      <c r="F306" s="39">
        <v>1</v>
      </c>
      <c r="G306" s="38">
        <v>45816</v>
      </c>
      <c r="H306" s="40"/>
      <c r="I306" s="41"/>
      <c r="J306" s="40"/>
      <c r="K306" s="41"/>
      <c r="L306" s="39">
        <v>0</v>
      </c>
      <c r="M306" s="39" t="s">
        <v>25</v>
      </c>
      <c r="N306" s="39" t="s">
        <v>37</v>
      </c>
      <c r="O306" s="36" t="s">
        <v>91</v>
      </c>
      <c r="P306" s="36" t="s">
        <v>92</v>
      </c>
      <c r="Q306" s="42" t="s">
        <v>93</v>
      </c>
      <c r="R306" s="1"/>
      <c r="S306" s="1"/>
      <c r="T306" s="1"/>
      <c r="U306" s="1"/>
      <c r="V306" s="1"/>
      <c r="W306" s="1"/>
      <c r="X306" s="1"/>
      <c r="Y306" s="1"/>
      <c r="Z306" s="1"/>
      <c r="AA306" s="1"/>
      <c r="AB306" s="1"/>
      <c r="AC306" s="1"/>
      <c r="AD306" s="1"/>
      <c r="AE306" s="1"/>
    </row>
    <row r="307" spans="1:31" ht="37.5" x14ac:dyDescent="0.25">
      <c r="A307" s="1"/>
      <c r="B307" s="131"/>
      <c r="C307" s="64" t="s">
        <v>52</v>
      </c>
      <c r="D307" s="65" t="s">
        <v>133</v>
      </c>
      <c r="E307" s="66" t="s">
        <v>32</v>
      </c>
      <c r="F307" s="66">
        <v>2</v>
      </c>
      <c r="G307" s="69">
        <v>45879</v>
      </c>
      <c r="H307" s="67"/>
      <c r="I307" s="68"/>
      <c r="J307" s="67"/>
      <c r="K307" s="68"/>
      <c r="L307" s="66">
        <v>0</v>
      </c>
      <c r="M307" s="66">
        <v>0</v>
      </c>
      <c r="N307" s="66" t="s">
        <v>30</v>
      </c>
      <c r="O307" s="64" t="s">
        <v>53</v>
      </c>
      <c r="P307" s="64" t="s">
        <v>54</v>
      </c>
      <c r="Q307" s="70" t="s">
        <v>55</v>
      </c>
      <c r="R307" s="1"/>
      <c r="S307" s="1"/>
      <c r="T307" s="1"/>
      <c r="U307" s="1"/>
      <c r="V307" s="1"/>
      <c r="W307" s="1"/>
      <c r="X307" s="1"/>
      <c r="Y307" s="1"/>
      <c r="Z307" s="1"/>
      <c r="AA307" s="1"/>
      <c r="AB307" s="1"/>
      <c r="AC307" s="1"/>
      <c r="AD307" s="1"/>
      <c r="AE307" s="1"/>
    </row>
    <row r="308" spans="1:31" ht="37.5" x14ac:dyDescent="0.25">
      <c r="A308" s="1"/>
      <c r="B308" s="130" t="s">
        <v>94</v>
      </c>
      <c r="C308" s="36" t="s">
        <v>95</v>
      </c>
      <c r="D308" s="37" t="s">
        <v>25</v>
      </c>
      <c r="E308" s="39" t="s">
        <v>32</v>
      </c>
      <c r="F308" s="39">
        <v>2</v>
      </c>
      <c r="G308" s="38">
        <v>45816</v>
      </c>
      <c r="H308" s="40"/>
      <c r="I308" s="41"/>
      <c r="J308" s="40"/>
      <c r="K308" s="41"/>
      <c r="L308" s="39">
        <v>0</v>
      </c>
      <c r="M308" s="39">
        <v>0</v>
      </c>
      <c r="N308" s="39" t="s">
        <v>30</v>
      </c>
      <c r="O308" s="36" t="s">
        <v>96</v>
      </c>
      <c r="P308" s="36" t="s">
        <v>97</v>
      </c>
      <c r="Q308" s="42" t="s">
        <v>98</v>
      </c>
      <c r="R308" s="1"/>
      <c r="S308" s="1"/>
      <c r="T308" s="1"/>
      <c r="U308" s="1"/>
      <c r="V308" s="1"/>
      <c r="W308" s="1"/>
      <c r="X308" s="1"/>
      <c r="Y308" s="1"/>
      <c r="Z308" s="1"/>
      <c r="AA308" s="1"/>
      <c r="AB308" s="1"/>
      <c r="AC308" s="1"/>
      <c r="AD308" s="1"/>
      <c r="AE308" s="1"/>
    </row>
    <row r="309" spans="1:31" ht="25" x14ac:dyDescent="0.25">
      <c r="A309" s="1"/>
      <c r="B309" s="128"/>
      <c r="C309" s="43" t="s">
        <v>99</v>
      </c>
      <c r="D309" s="44" t="s">
        <v>25</v>
      </c>
      <c r="E309" s="46" t="s">
        <v>32</v>
      </c>
      <c r="F309" s="46">
        <v>2</v>
      </c>
      <c r="G309" s="45">
        <v>45879</v>
      </c>
      <c r="H309" s="47"/>
      <c r="I309" s="48"/>
      <c r="J309" s="47"/>
      <c r="K309" s="48"/>
      <c r="L309" s="46">
        <v>0</v>
      </c>
      <c r="M309" s="46">
        <v>0</v>
      </c>
      <c r="N309" s="46" t="s">
        <v>30</v>
      </c>
      <c r="O309" s="43" t="s">
        <v>100</v>
      </c>
      <c r="P309" s="43" t="s">
        <v>101</v>
      </c>
      <c r="Q309" s="49" t="s">
        <v>102</v>
      </c>
      <c r="R309" s="1"/>
      <c r="S309" s="1"/>
      <c r="T309" s="1"/>
      <c r="U309" s="1"/>
      <c r="V309" s="1"/>
      <c r="W309" s="1"/>
      <c r="X309" s="1"/>
      <c r="Y309" s="1"/>
      <c r="Z309" s="1"/>
      <c r="AA309" s="1"/>
      <c r="AB309" s="1"/>
      <c r="AC309" s="1"/>
      <c r="AD309" s="1"/>
      <c r="AE309" s="1"/>
    </row>
    <row r="310" spans="1:31" ht="25" x14ac:dyDescent="0.25">
      <c r="A310" s="1"/>
      <c r="B310" s="128"/>
      <c r="C310" s="36" t="s">
        <v>103</v>
      </c>
      <c r="D310" s="37" t="s">
        <v>25</v>
      </c>
      <c r="E310" s="39" t="s">
        <v>32</v>
      </c>
      <c r="F310" s="39">
        <v>1</v>
      </c>
      <c r="G310" s="38">
        <v>45879</v>
      </c>
      <c r="H310" s="40"/>
      <c r="I310" s="41"/>
      <c r="J310" s="40"/>
      <c r="K310" s="41"/>
      <c r="L310" s="39">
        <v>0</v>
      </c>
      <c r="M310" s="39" t="s">
        <v>25</v>
      </c>
      <c r="N310" s="39" t="s">
        <v>30</v>
      </c>
      <c r="O310" s="36" t="s">
        <v>104</v>
      </c>
      <c r="P310" s="36" t="s">
        <v>105</v>
      </c>
      <c r="Q310" s="42" t="s">
        <v>106</v>
      </c>
      <c r="R310" s="1"/>
      <c r="S310" s="1"/>
      <c r="T310" s="1"/>
      <c r="U310" s="1"/>
      <c r="V310" s="1"/>
      <c r="W310" s="1"/>
      <c r="X310" s="1"/>
      <c r="Y310" s="1"/>
      <c r="Z310" s="1"/>
      <c r="AA310" s="1"/>
      <c r="AB310" s="1"/>
      <c r="AC310" s="1"/>
      <c r="AD310" s="1"/>
      <c r="AE310" s="1"/>
    </row>
    <row r="311" spans="1:31" x14ac:dyDescent="0.25">
      <c r="A311" s="1"/>
      <c r="B311" s="128"/>
      <c r="C311" s="43" t="s">
        <v>107</v>
      </c>
      <c r="D311" s="44" t="s">
        <v>132</v>
      </c>
      <c r="E311" s="46" t="s">
        <v>32</v>
      </c>
      <c r="F311" s="46">
        <v>2</v>
      </c>
      <c r="G311" s="45">
        <v>45879</v>
      </c>
      <c r="H311" s="47"/>
      <c r="I311" s="48"/>
      <c r="J311" s="47"/>
      <c r="K311" s="48"/>
      <c r="L311" s="46">
        <v>0</v>
      </c>
      <c r="M311" s="46">
        <v>0</v>
      </c>
      <c r="N311" s="46" t="s">
        <v>30</v>
      </c>
      <c r="O311" s="43" t="s">
        <v>108</v>
      </c>
      <c r="P311" s="43" t="s">
        <v>109</v>
      </c>
      <c r="Q311" s="49" t="s">
        <v>110</v>
      </c>
      <c r="R311" s="1"/>
      <c r="S311" s="1"/>
      <c r="T311" s="1"/>
      <c r="U311" s="1"/>
      <c r="V311" s="1"/>
      <c r="W311" s="1"/>
      <c r="X311" s="1"/>
      <c r="Y311" s="1"/>
      <c r="Z311" s="1"/>
      <c r="AA311" s="1"/>
      <c r="AB311" s="1"/>
      <c r="AC311" s="1"/>
      <c r="AD311" s="1"/>
      <c r="AE311" s="1"/>
    </row>
    <row r="312" spans="1:31" x14ac:dyDescent="0.25">
      <c r="A312" s="1"/>
      <c r="B312" s="128"/>
      <c r="C312" s="36" t="s">
        <v>111</v>
      </c>
      <c r="D312" s="37" t="s">
        <v>25</v>
      </c>
      <c r="E312" s="39" t="s">
        <v>32</v>
      </c>
      <c r="F312" s="39">
        <v>2</v>
      </c>
      <c r="G312" s="38">
        <v>45879</v>
      </c>
      <c r="H312" s="40"/>
      <c r="I312" s="41"/>
      <c r="J312" s="40"/>
      <c r="K312" s="41"/>
      <c r="L312" s="39">
        <v>0</v>
      </c>
      <c r="M312" s="39">
        <v>0</v>
      </c>
      <c r="N312" s="39" t="s">
        <v>30</v>
      </c>
      <c r="O312" s="36" t="s">
        <v>112</v>
      </c>
      <c r="P312" s="37" t="s">
        <v>25</v>
      </c>
      <c r="Q312" s="42" t="s">
        <v>113</v>
      </c>
      <c r="R312" s="1"/>
      <c r="S312" s="1"/>
      <c r="T312" s="1"/>
      <c r="U312" s="1"/>
      <c r="V312" s="1"/>
      <c r="W312" s="1"/>
      <c r="X312" s="1"/>
      <c r="Y312" s="1"/>
      <c r="Z312" s="1"/>
      <c r="AA312" s="1"/>
      <c r="AB312" s="1"/>
      <c r="AC312" s="1"/>
      <c r="AD312" s="1"/>
      <c r="AE312" s="1"/>
    </row>
    <row r="313" spans="1:31" x14ac:dyDescent="0.25">
      <c r="A313" s="1"/>
      <c r="B313" s="128"/>
      <c r="C313" s="43" t="s">
        <v>114</v>
      </c>
      <c r="D313" s="44" t="s">
        <v>25</v>
      </c>
      <c r="E313" s="46" t="s">
        <v>32</v>
      </c>
      <c r="F313" s="46">
        <v>2</v>
      </c>
      <c r="G313" s="45">
        <v>45879</v>
      </c>
      <c r="H313" s="47"/>
      <c r="I313" s="48"/>
      <c r="J313" s="47"/>
      <c r="K313" s="48"/>
      <c r="L313" s="46">
        <v>0</v>
      </c>
      <c r="M313" s="46">
        <v>0</v>
      </c>
      <c r="N313" s="46" t="s">
        <v>30</v>
      </c>
      <c r="O313" s="43" t="s">
        <v>115</v>
      </c>
      <c r="P313" s="44" t="s">
        <v>25</v>
      </c>
      <c r="Q313" s="49" t="s">
        <v>113</v>
      </c>
      <c r="R313" s="1"/>
      <c r="S313" s="1"/>
      <c r="T313" s="1"/>
      <c r="U313" s="1"/>
      <c r="V313" s="1"/>
      <c r="W313" s="1"/>
      <c r="X313" s="1"/>
      <c r="Y313" s="1"/>
      <c r="Z313" s="1"/>
      <c r="AA313" s="1"/>
      <c r="AB313" s="1"/>
      <c r="AC313" s="1"/>
      <c r="AD313" s="1"/>
      <c r="AE313" s="1"/>
    </row>
    <row r="314" spans="1:31" x14ac:dyDescent="0.25">
      <c r="A314" s="1"/>
      <c r="B314" s="128"/>
      <c r="C314" s="36" t="s">
        <v>116</v>
      </c>
      <c r="D314" s="37" t="s">
        <v>132</v>
      </c>
      <c r="E314" s="39" t="s">
        <v>32</v>
      </c>
      <c r="F314" s="39">
        <v>1</v>
      </c>
      <c r="G314" s="38">
        <v>45816</v>
      </c>
      <c r="H314" s="40"/>
      <c r="I314" s="41"/>
      <c r="J314" s="40"/>
      <c r="K314" s="41"/>
      <c r="L314" s="39">
        <v>0</v>
      </c>
      <c r="M314" s="39" t="s">
        <v>25</v>
      </c>
      <c r="N314" s="39" t="s">
        <v>30</v>
      </c>
      <c r="O314" s="36" t="s">
        <v>117</v>
      </c>
      <c r="P314" s="36" t="s">
        <v>118</v>
      </c>
      <c r="Q314" s="42" t="s">
        <v>119</v>
      </c>
      <c r="R314" s="1"/>
      <c r="S314" s="1"/>
      <c r="T314" s="1"/>
      <c r="U314" s="1"/>
      <c r="V314" s="1"/>
      <c r="W314" s="1"/>
      <c r="X314" s="1"/>
      <c r="Y314" s="1"/>
      <c r="Z314" s="1"/>
      <c r="AA314" s="1"/>
      <c r="AB314" s="1"/>
      <c r="AC314" s="1"/>
      <c r="AD314" s="1"/>
      <c r="AE314" s="1"/>
    </row>
    <row r="315" spans="1:31" ht="25" x14ac:dyDescent="0.25">
      <c r="A315" s="1"/>
      <c r="B315" s="128"/>
      <c r="C315" s="43" t="s">
        <v>34</v>
      </c>
      <c r="D315" s="44" t="s">
        <v>134</v>
      </c>
      <c r="E315" s="46" t="s">
        <v>32</v>
      </c>
      <c r="F315" s="46">
        <v>2</v>
      </c>
      <c r="G315" s="45">
        <v>45879</v>
      </c>
      <c r="H315" s="47"/>
      <c r="I315" s="46"/>
      <c r="J315" s="47"/>
      <c r="K315" s="48"/>
      <c r="L315" s="46">
        <v>0</v>
      </c>
      <c r="M315" s="46">
        <v>0</v>
      </c>
      <c r="N315" s="46" t="s">
        <v>30</v>
      </c>
      <c r="O315" s="43" t="s">
        <v>71</v>
      </c>
      <c r="P315" s="43" t="s">
        <v>72</v>
      </c>
      <c r="Q315" s="49" t="s">
        <v>120</v>
      </c>
      <c r="R315" s="1"/>
      <c r="S315" s="1"/>
      <c r="T315" s="1"/>
      <c r="U315" s="1"/>
      <c r="V315" s="1"/>
      <c r="W315" s="1"/>
      <c r="X315" s="1"/>
      <c r="Y315" s="1"/>
      <c r="Z315" s="1"/>
      <c r="AA315" s="1"/>
      <c r="AB315" s="1"/>
      <c r="AC315" s="1"/>
      <c r="AD315" s="1"/>
      <c r="AE315" s="1"/>
    </row>
    <row r="316" spans="1:31" x14ac:dyDescent="0.25">
      <c r="A316" s="1"/>
      <c r="B316" s="131"/>
      <c r="C316" s="59" t="s">
        <v>121</v>
      </c>
      <c r="D316" s="60" t="s">
        <v>25</v>
      </c>
      <c r="E316" s="61" t="s">
        <v>32</v>
      </c>
      <c r="F316" s="61">
        <v>2</v>
      </c>
      <c r="G316" s="61" t="s">
        <v>25</v>
      </c>
      <c r="H316" s="62"/>
      <c r="I316" s="61"/>
      <c r="J316" s="62"/>
      <c r="K316" s="63"/>
      <c r="L316" s="61">
        <v>0</v>
      </c>
      <c r="M316" s="61">
        <v>0</v>
      </c>
      <c r="N316" s="61" t="s">
        <v>30</v>
      </c>
      <c r="O316" s="60" t="s">
        <v>25</v>
      </c>
      <c r="P316" s="60" t="s">
        <v>25</v>
      </c>
      <c r="Q316" s="71" t="s">
        <v>122</v>
      </c>
      <c r="R316" s="1"/>
      <c r="S316" s="1"/>
      <c r="T316" s="1"/>
      <c r="U316" s="1"/>
      <c r="V316" s="1"/>
      <c r="W316" s="1"/>
      <c r="X316" s="1"/>
      <c r="Y316" s="1"/>
      <c r="Z316" s="1"/>
      <c r="AA316" s="1"/>
      <c r="AB316" s="1"/>
      <c r="AC316" s="1"/>
      <c r="AD316" s="1"/>
      <c r="AE316" s="1"/>
    </row>
    <row r="317" spans="1:31" ht="13" x14ac:dyDescent="0.25">
      <c r="A317" s="1"/>
      <c r="B317" s="155" t="s">
        <v>141</v>
      </c>
      <c r="C317" s="156"/>
      <c r="D317" s="156"/>
      <c r="E317" s="156"/>
      <c r="F317" s="156"/>
      <c r="G317" s="156"/>
      <c r="H317" s="156"/>
      <c r="I317" s="156"/>
      <c r="J317" s="156"/>
      <c r="K317" s="156"/>
      <c r="L317" s="156"/>
      <c r="M317" s="156"/>
      <c r="N317" s="156"/>
      <c r="O317" s="156"/>
      <c r="P317" s="156"/>
      <c r="Q317" s="157"/>
      <c r="R317" s="1"/>
      <c r="S317" s="1"/>
      <c r="T317" s="1"/>
      <c r="U317" s="1"/>
      <c r="V317" s="1"/>
      <c r="W317" s="1"/>
      <c r="X317" s="1"/>
      <c r="Y317" s="1"/>
      <c r="Z317" s="1"/>
      <c r="AA317" s="1"/>
      <c r="AB317" s="1"/>
      <c r="AC317" s="1"/>
      <c r="AD317" s="1"/>
      <c r="AE317" s="1"/>
    </row>
    <row r="318" spans="1:31" x14ac:dyDescent="0.25">
      <c r="A318" s="1"/>
      <c r="B318" s="1"/>
      <c r="C318" s="5"/>
      <c r="D318" s="5"/>
      <c r="E318" s="1"/>
      <c r="F318" s="1"/>
      <c r="G318" s="1"/>
      <c r="H318" s="1"/>
      <c r="I318" s="1"/>
      <c r="J318" s="1"/>
      <c r="K318" s="1"/>
      <c r="L318" s="1"/>
      <c r="M318" s="1"/>
      <c r="N318" s="1"/>
      <c r="O318" s="5"/>
      <c r="P318" s="5"/>
      <c r="Q318" s="5"/>
      <c r="R318" s="1"/>
      <c r="S318" s="1"/>
      <c r="T318" s="1"/>
      <c r="U318" s="1"/>
      <c r="V318" s="1"/>
      <c r="W318" s="1"/>
      <c r="X318" s="1"/>
      <c r="Y318" s="1"/>
      <c r="Z318" s="1"/>
      <c r="AA318" s="1"/>
      <c r="AB318" s="1"/>
      <c r="AC318" s="1"/>
      <c r="AD318" s="1"/>
      <c r="AE318" s="1"/>
    </row>
    <row r="319" spans="1:31" x14ac:dyDescent="0.25">
      <c r="A319" s="1"/>
      <c r="B319" s="1"/>
      <c r="C319" s="5"/>
      <c r="D319" s="5"/>
      <c r="E319" s="1"/>
      <c r="F319" s="1"/>
      <c r="G319" s="1"/>
      <c r="H319" s="1"/>
      <c r="I319" s="1"/>
      <c r="J319" s="1"/>
      <c r="K319" s="1"/>
      <c r="L319" s="1"/>
      <c r="M319" s="1"/>
      <c r="N319" s="1"/>
      <c r="O319" s="5"/>
      <c r="P319" s="5"/>
      <c r="Q319" s="5"/>
      <c r="R319" s="1"/>
      <c r="S319" s="1"/>
      <c r="T319" s="1"/>
      <c r="U319" s="1"/>
      <c r="V319" s="1"/>
      <c r="W319" s="1"/>
      <c r="X319" s="1"/>
      <c r="Y319" s="1"/>
      <c r="Z319" s="1"/>
      <c r="AA319" s="1"/>
      <c r="AB319" s="1"/>
      <c r="AC319" s="1"/>
      <c r="AD319" s="1"/>
      <c r="AE319" s="1"/>
    </row>
    <row r="320" spans="1:31" x14ac:dyDescent="0.25">
      <c r="A320" s="1"/>
      <c r="B320" s="132" t="s">
        <v>137</v>
      </c>
      <c r="C320" s="135" t="s">
        <v>7</v>
      </c>
      <c r="D320" s="135" t="s">
        <v>8</v>
      </c>
      <c r="E320" s="135" t="s">
        <v>9</v>
      </c>
      <c r="F320" s="139" t="s">
        <v>10</v>
      </c>
      <c r="G320" s="142" t="s">
        <v>11</v>
      </c>
      <c r="H320" s="143" t="s">
        <v>12</v>
      </c>
      <c r="I320" s="144"/>
      <c r="J320" s="144"/>
      <c r="K320" s="145"/>
      <c r="L320" s="146" t="s">
        <v>13</v>
      </c>
      <c r="M320" s="147"/>
      <c r="N320" s="150" t="s">
        <v>14</v>
      </c>
      <c r="O320" s="138" t="s">
        <v>15</v>
      </c>
      <c r="P320" s="138" t="s">
        <v>16</v>
      </c>
      <c r="Q320" s="135" t="s">
        <v>17</v>
      </c>
      <c r="R320" s="1"/>
      <c r="S320" s="1"/>
      <c r="T320" s="1"/>
      <c r="U320" s="1"/>
      <c r="V320" s="1"/>
      <c r="W320" s="1"/>
      <c r="X320" s="1"/>
      <c r="Y320" s="1"/>
      <c r="Z320" s="1"/>
      <c r="AA320" s="1"/>
      <c r="AB320" s="1"/>
      <c r="AC320" s="1"/>
      <c r="AD320" s="1"/>
      <c r="AE320" s="1"/>
    </row>
    <row r="321" spans="1:31" x14ac:dyDescent="0.25">
      <c r="A321" s="1"/>
      <c r="B321" s="133"/>
      <c r="C321" s="136"/>
      <c r="D321" s="136"/>
      <c r="E321" s="136"/>
      <c r="F321" s="140"/>
      <c r="G321" s="128"/>
      <c r="H321" s="152" t="s">
        <v>18</v>
      </c>
      <c r="I321" s="153"/>
      <c r="J321" s="154" t="s">
        <v>19</v>
      </c>
      <c r="K321" s="153"/>
      <c r="L321" s="148"/>
      <c r="M321" s="149"/>
      <c r="N321" s="149"/>
      <c r="O321" s="136"/>
      <c r="P321" s="136"/>
      <c r="Q321" s="136"/>
      <c r="R321" s="1"/>
      <c r="S321" s="1"/>
      <c r="T321" s="1"/>
      <c r="U321" s="1"/>
      <c r="V321" s="1"/>
      <c r="W321" s="1"/>
      <c r="X321" s="1"/>
      <c r="Y321" s="1"/>
      <c r="Z321" s="1"/>
      <c r="AA321" s="1"/>
      <c r="AB321" s="1"/>
      <c r="AC321" s="1"/>
      <c r="AD321" s="1"/>
      <c r="AE321" s="1"/>
    </row>
    <row r="322" spans="1:31" ht="13" x14ac:dyDescent="0.25">
      <c r="A322" s="1"/>
      <c r="B322" s="134"/>
      <c r="C322" s="137"/>
      <c r="D322" s="137"/>
      <c r="E322" s="137"/>
      <c r="F322" s="141"/>
      <c r="G322" s="128"/>
      <c r="H322" s="9" t="s">
        <v>20</v>
      </c>
      <c r="I322" s="10" t="s">
        <v>21</v>
      </c>
      <c r="J322" s="11" t="s">
        <v>20</v>
      </c>
      <c r="K322" s="10" t="s">
        <v>21</v>
      </c>
      <c r="L322" s="12" t="s">
        <v>22</v>
      </c>
      <c r="M322" s="12" t="s">
        <v>23</v>
      </c>
      <c r="N322" s="151"/>
      <c r="O322" s="137"/>
      <c r="P322" s="137"/>
      <c r="Q322" s="137"/>
      <c r="R322" s="1"/>
      <c r="S322" s="1"/>
      <c r="T322" s="1"/>
      <c r="U322" s="1"/>
      <c r="V322" s="1"/>
      <c r="W322" s="1"/>
      <c r="X322" s="1"/>
      <c r="Y322" s="1"/>
      <c r="Z322" s="1"/>
      <c r="AA322" s="1"/>
      <c r="AB322" s="1"/>
      <c r="AC322" s="1"/>
      <c r="AD322" s="1"/>
      <c r="AE322" s="1"/>
    </row>
    <row r="323" spans="1:31" ht="25" x14ac:dyDescent="0.25">
      <c r="A323" s="1"/>
      <c r="B323" s="127" t="s">
        <v>140</v>
      </c>
      <c r="C323" s="13" t="s">
        <v>41</v>
      </c>
      <c r="D323" s="14" t="s">
        <v>133</v>
      </c>
      <c r="E323" s="15">
        <v>45659</v>
      </c>
      <c r="F323" s="14">
        <v>2</v>
      </c>
      <c r="G323" s="15">
        <v>45816</v>
      </c>
      <c r="H323" s="16"/>
      <c r="I323" s="17"/>
      <c r="J323" s="18"/>
      <c r="K323" s="17"/>
      <c r="L323" s="14">
        <v>0</v>
      </c>
      <c r="M323" s="14">
        <v>0</v>
      </c>
      <c r="N323" s="14" t="s">
        <v>30</v>
      </c>
      <c r="O323" s="13" t="s">
        <v>42</v>
      </c>
      <c r="P323" s="13" t="s">
        <v>43</v>
      </c>
      <c r="Q323" s="19" t="s">
        <v>44</v>
      </c>
      <c r="R323" s="1"/>
      <c r="S323" s="1"/>
      <c r="T323" s="1"/>
      <c r="U323" s="1"/>
      <c r="V323" s="1"/>
      <c r="W323" s="1"/>
      <c r="X323" s="1"/>
      <c r="Y323" s="1"/>
      <c r="Z323" s="1"/>
      <c r="AA323" s="1"/>
      <c r="AB323" s="1"/>
      <c r="AC323" s="1"/>
      <c r="AD323" s="1"/>
      <c r="AE323" s="1"/>
    </row>
    <row r="324" spans="1:31" ht="25" x14ac:dyDescent="0.25">
      <c r="A324" s="1"/>
      <c r="B324" s="128"/>
      <c r="C324" s="90" t="s">
        <v>45</v>
      </c>
      <c r="D324" s="21" t="s">
        <v>25</v>
      </c>
      <c r="E324" s="22">
        <v>45692</v>
      </c>
      <c r="F324" s="21">
        <v>2</v>
      </c>
      <c r="G324" s="22">
        <v>45816</v>
      </c>
      <c r="H324" s="23"/>
      <c r="I324" s="24"/>
      <c r="J324" s="25"/>
      <c r="K324" s="24"/>
      <c r="L324" s="21">
        <v>1</v>
      </c>
      <c r="M324" s="21">
        <v>0</v>
      </c>
      <c r="N324" s="21" t="s">
        <v>26</v>
      </c>
      <c r="O324" s="21" t="s">
        <v>46</v>
      </c>
      <c r="P324" s="21" t="s">
        <v>46</v>
      </c>
      <c r="Q324" s="26" t="s">
        <v>47</v>
      </c>
      <c r="R324" s="1"/>
      <c r="S324" s="1"/>
      <c r="T324" s="1"/>
      <c r="U324" s="1"/>
      <c r="V324" s="1"/>
      <c r="W324" s="1"/>
      <c r="X324" s="1"/>
      <c r="Y324" s="1"/>
      <c r="Z324" s="1"/>
      <c r="AA324" s="1"/>
      <c r="AB324" s="1"/>
      <c r="AC324" s="1"/>
      <c r="AD324" s="1"/>
      <c r="AE324" s="1"/>
    </row>
    <row r="325" spans="1:31" ht="25" x14ac:dyDescent="0.25">
      <c r="A325" s="1"/>
      <c r="B325" s="128"/>
      <c r="C325" s="20" t="s">
        <v>24</v>
      </c>
      <c r="D325" s="21" t="s">
        <v>25</v>
      </c>
      <c r="E325" s="22">
        <v>45692</v>
      </c>
      <c r="F325" s="21">
        <v>2</v>
      </c>
      <c r="G325" s="22">
        <v>45816</v>
      </c>
      <c r="H325" s="23"/>
      <c r="I325" s="24"/>
      <c r="J325" s="25"/>
      <c r="K325" s="24"/>
      <c r="L325" s="21">
        <v>1</v>
      </c>
      <c r="M325" s="21">
        <v>0</v>
      </c>
      <c r="N325" s="21" t="s">
        <v>26</v>
      </c>
      <c r="O325" s="20" t="s">
        <v>27</v>
      </c>
      <c r="P325" s="20" t="s">
        <v>28</v>
      </c>
      <c r="Q325" s="26" t="s">
        <v>29</v>
      </c>
      <c r="R325" s="1"/>
      <c r="S325" s="1"/>
      <c r="T325" s="1"/>
      <c r="U325" s="1"/>
      <c r="V325" s="1"/>
      <c r="W325" s="1"/>
      <c r="X325" s="1"/>
      <c r="Y325" s="1"/>
      <c r="Z325" s="1"/>
      <c r="AA325" s="1"/>
      <c r="AB325" s="1"/>
      <c r="AC325" s="1"/>
      <c r="AD325" s="1"/>
      <c r="AE325" s="1"/>
    </row>
    <row r="326" spans="1:31" ht="25" x14ac:dyDescent="0.25">
      <c r="A326" s="1"/>
      <c r="B326" s="128"/>
      <c r="C326" s="20" t="s">
        <v>31</v>
      </c>
      <c r="D326" s="21" t="s">
        <v>25</v>
      </c>
      <c r="E326" s="21" t="s">
        <v>32</v>
      </c>
      <c r="F326" s="21">
        <v>1</v>
      </c>
      <c r="G326" s="22">
        <v>45879</v>
      </c>
      <c r="H326" s="23"/>
      <c r="I326" s="24"/>
      <c r="J326" s="25"/>
      <c r="K326" s="24"/>
      <c r="L326" s="21">
        <v>0</v>
      </c>
      <c r="M326" s="21" t="s">
        <v>25</v>
      </c>
      <c r="N326" s="21" t="s">
        <v>30</v>
      </c>
      <c r="O326" s="20" t="s">
        <v>33</v>
      </c>
      <c r="P326" s="20" t="s">
        <v>34</v>
      </c>
      <c r="Q326" s="26" t="s">
        <v>35</v>
      </c>
      <c r="R326" s="1"/>
      <c r="S326" s="1"/>
      <c r="T326" s="1"/>
      <c r="U326" s="1"/>
      <c r="V326" s="1"/>
      <c r="W326" s="1"/>
      <c r="X326" s="1"/>
      <c r="Y326" s="1"/>
      <c r="Z326" s="1"/>
      <c r="AA326" s="1"/>
      <c r="AB326" s="1"/>
      <c r="AC326" s="1"/>
      <c r="AD326" s="1"/>
      <c r="AE326" s="1"/>
    </row>
    <row r="327" spans="1:31" ht="25" x14ac:dyDescent="0.25">
      <c r="A327" s="1"/>
      <c r="B327" s="128"/>
      <c r="C327" s="20" t="s">
        <v>36</v>
      </c>
      <c r="D327" s="21" t="s">
        <v>133</v>
      </c>
      <c r="E327" s="22">
        <v>45659</v>
      </c>
      <c r="F327" s="21">
        <v>2</v>
      </c>
      <c r="G327" s="22">
        <v>45816</v>
      </c>
      <c r="H327" s="23"/>
      <c r="I327" s="24"/>
      <c r="J327" s="25"/>
      <c r="K327" s="24"/>
      <c r="L327" s="21">
        <v>1</v>
      </c>
      <c r="M327" s="21">
        <v>0</v>
      </c>
      <c r="N327" s="21" t="s">
        <v>37</v>
      </c>
      <c r="O327" s="20" t="s">
        <v>38</v>
      </c>
      <c r="P327" s="20" t="s">
        <v>39</v>
      </c>
      <c r="Q327" s="26" t="s">
        <v>40</v>
      </c>
      <c r="R327" s="1"/>
      <c r="S327" s="1"/>
      <c r="T327" s="1"/>
      <c r="U327" s="1"/>
      <c r="V327" s="1"/>
      <c r="W327" s="1"/>
      <c r="X327" s="1"/>
      <c r="Y327" s="1"/>
      <c r="Z327" s="1"/>
      <c r="AA327" s="1"/>
      <c r="AB327" s="1"/>
      <c r="AC327" s="1"/>
      <c r="AD327" s="1"/>
      <c r="AE327" s="1"/>
    </row>
    <row r="328" spans="1:31" ht="37.5" x14ac:dyDescent="0.25">
      <c r="A328" s="1"/>
      <c r="B328" s="129"/>
      <c r="C328" s="20" t="s">
        <v>52</v>
      </c>
      <c r="D328" s="21" t="s">
        <v>133</v>
      </c>
      <c r="E328" s="21" t="s">
        <v>32</v>
      </c>
      <c r="F328" s="21">
        <v>1</v>
      </c>
      <c r="G328" s="22">
        <v>45816</v>
      </c>
      <c r="H328" s="23"/>
      <c r="I328" s="24"/>
      <c r="J328" s="25"/>
      <c r="K328" s="24"/>
      <c r="L328" s="21">
        <v>0</v>
      </c>
      <c r="M328" s="21" t="s">
        <v>25</v>
      </c>
      <c r="N328" s="21" t="s">
        <v>30</v>
      </c>
      <c r="O328" s="20" t="s">
        <v>53</v>
      </c>
      <c r="P328" s="20" t="s">
        <v>54</v>
      </c>
      <c r="Q328" s="26" t="s">
        <v>55</v>
      </c>
      <c r="R328" s="1"/>
      <c r="S328" s="1"/>
      <c r="T328" s="1"/>
      <c r="U328" s="1"/>
      <c r="V328" s="1"/>
      <c r="W328" s="1"/>
      <c r="X328" s="1"/>
      <c r="Y328" s="1"/>
      <c r="Z328" s="1"/>
      <c r="AA328" s="1"/>
      <c r="AB328" s="1"/>
      <c r="AC328" s="1"/>
      <c r="AD328" s="1"/>
      <c r="AE328" s="1"/>
    </row>
    <row r="329" spans="1:31" ht="13" x14ac:dyDescent="0.25">
      <c r="A329" s="1"/>
      <c r="B329" s="155" t="s">
        <v>141</v>
      </c>
      <c r="C329" s="156"/>
      <c r="D329" s="156"/>
      <c r="E329" s="156"/>
      <c r="F329" s="156"/>
      <c r="G329" s="156"/>
      <c r="H329" s="156"/>
      <c r="I329" s="156"/>
      <c r="J329" s="156"/>
      <c r="K329" s="156"/>
      <c r="L329" s="156"/>
      <c r="M329" s="156"/>
      <c r="N329" s="156"/>
      <c r="O329" s="156"/>
      <c r="P329" s="156"/>
      <c r="Q329" s="157"/>
      <c r="R329" s="1"/>
      <c r="S329" s="1"/>
      <c r="T329" s="1"/>
      <c r="U329" s="1"/>
      <c r="V329" s="1"/>
      <c r="W329" s="1"/>
      <c r="X329" s="1"/>
      <c r="Y329" s="1"/>
      <c r="Z329" s="1"/>
      <c r="AA329" s="1"/>
      <c r="AB329" s="1"/>
      <c r="AC329" s="1"/>
      <c r="AD329" s="1"/>
      <c r="AE329" s="1"/>
    </row>
    <row r="330" spans="1:31" ht="25" x14ac:dyDescent="0.25">
      <c r="A330" s="1"/>
      <c r="B330" s="130" t="s">
        <v>142</v>
      </c>
      <c r="C330" s="52" t="s">
        <v>56</v>
      </c>
      <c r="D330" s="53" t="s">
        <v>133</v>
      </c>
      <c r="E330" s="54">
        <v>45691</v>
      </c>
      <c r="F330" s="55">
        <v>2</v>
      </c>
      <c r="G330" s="54">
        <v>45879</v>
      </c>
      <c r="H330" s="56"/>
      <c r="I330" s="57"/>
      <c r="J330" s="56"/>
      <c r="K330" s="57"/>
      <c r="L330" s="55">
        <v>1</v>
      </c>
      <c r="M330" s="55">
        <v>0</v>
      </c>
      <c r="N330" s="55" t="s">
        <v>37</v>
      </c>
      <c r="O330" s="52" t="s">
        <v>57</v>
      </c>
      <c r="P330" s="52" t="s">
        <v>39</v>
      </c>
      <c r="Q330" s="58" t="s">
        <v>58</v>
      </c>
      <c r="R330" s="1"/>
      <c r="S330" s="1"/>
      <c r="T330" s="1"/>
      <c r="U330" s="1"/>
      <c r="V330" s="1"/>
      <c r="W330" s="1"/>
      <c r="X330" s="1"/>
      <c r="Y330" s="1"/>
      <c r="Z330" s="1"/>
      <c r="AA330" s="1"/>
      <c r="AB330" s="1"/>
      <c r="AC330" s="1"/>
      <c r="AD330" s="1"/>
      <c r="AE330" s="1"/>
    </row>
    <row r="331" spans="1:31" ht="25" x14ac:dyDescent="0.25">
      <c r="A331" s="1"/>
      <c r="B331" s="128"/>
      <c r="C331" s="43" t="s">
        <v>59</v>
      </c>
      <c r="D331" s="44" t="s">
        <v>132</v>
      </c>
      <c r="E331" s="45">
        <v>45691</v>
      </c>
      <c r="F331" s="46">
        <v>2</v>
      </c>
      <c r="G331" s="45">
        <v>45879</v>
      </c>
      <c r="H331" s="47"/>
      <c r="I331" s="48"/>
      <c r="J331" s="47"/>
      <c r="K331" s="48"/>
      <c r="L331" s="46">
        <v>1</v>
      </c>
      <c r="M331" s="46">
        <v>0</v>
      </c>
      <c r="N331" s="46" t="s">
        <v>37</v>
      </c>
      <c r="O331" s="43" t="s">
        <v>60</v>
      </c>
      <c r="P331" s="43" t="s">
        <v>61</v>
      </c>
      <c r="Q331" s="49" t="s">
        <v>62</v>
      </c>
      <c r="R331" s="1"/>
      <c r="S331" s="1"/>
      <c r="T331" s="1"/>
      <c r="U331" s="1"/>
      <c r="V331" s="1"/>
      <c r="W331" s="1"/>
      <c r="X331" s="1"/>
      <c r="Y331" s="1"/>
      <c r="Z331" s="1"/>
      <c r="AA331" s="1"/>
      <c r="AB331" s="1"/>
      <c r="AC331" s="1"/>
      <c r="AD331" s="1"/>
      <c r="AE331" s="1"/>
    </row>
    <row r="332" spans="1:31" x14ac:dyDescent="0.25">
      <c r="A332" s="1"/>
      <c r="B332" s="128"/>
      <c r="C332" s="36" t="s">
        <v>63</v>
      </c>
      <c r="D332" s="37" t="s">
        <v>25</v>
      </c>
      <c r="E332" s="38">
        <v>45659</v>
      </c>
      <c r="F332" s="39">
        <v>1</v>
      </c>
      <c r="G332" s="38">
        <v>45816</v>
      </c>
      <c r="H332" s="40"/>
      <c r="I332" s="41"/>
      <c r="J332" s="40"/>
      <c r="K332" s="41"/>
      <c r="L332" s="39">
        <v>0</v>
      </c>
      <c r="M332" s="39" t="s">
        <v>25</v>
      </c>
      <c r="N332" s="39" t="s">
        <v>30</v>
      </c>
      <c r="O332" s="36" t="s">
        <v>64</v>
      </c>
      <c r="P332" s="36" t="s">
        <v>65</v>
      </c>
      <c r="Q332" s="42" t="s">
        <v>66</v>
      </c>
      <c r="R332" s="1"/>
      <c r="S332" s="1"/>
      <c r="T332" s="1"/>
      <c r="U332" s="1"/>
      <c r="V332" s="1"/>
      <c r="W332" s="1"/>
      <c r="X332" s="1"/>
      <c r="Y332" s="1"/>
      <c r="Z332" s="1"/>
      <c r="AA332" s="1"/>
      <c r="AB332" s="1"/>
      <c r="AC332" s="1"/>
      <c r="AD332" s="1"/>
      <c r="AE332" s="1"/>
    </row>
    <row r="333" spans="1:31" ht="25" x14ac:dyDescent="0.25">
      <c r="A333" s="1"/>
      <c r="B333" s="128"/>
      <c r="C333" s="43" t="s">
        <v>67</v>
      </c>
      <c r="D333" s="44" t="s">
        <v>135</v>
      </c>
      <c r="E333" s="45">
        <v>45692</v>
      </c>
      <c r="F333" s="46">
        <v>2</v>
      </c>
      <c r="G333" s="45">
        <v>45879</v>
      </c>
      <c r="H333" s="47"/>
      <c r="I333" s="48"/>
      <c r="J333" s="47"/>
      <c r="K333" s="48"/>
      <c r="L333" s="46">
        <v>1</v>
      </c>
      <c r="M333" s="46">
        <v>0</v>
      </c>
      <c r="N333" s="46" t="s">
        <v>26</v>
      </c>
      <c r="O333" s="43" t="s">
        <v>68</v>
      </c>
      <c r="P333" s="43" t="s">
        <v>69</v>
      </c>
      <c r="Q333" s="49" t="s">
        <v>70</v>
      </c>
      <c r="R333" s="1"/>
      <c r="S333" s="1"/>
      <c r="T333" s="1"/>
      <c r="U333" s="1"/>
      <c r="V333" s="1"/>
      <c r="W333" s="1"/>
      <c r="X333" s="1"/>
      <c r="Y333" s="1"/>
      <c r="Z333" s="1"/>
      <c r="AA333" s="1"/>
      <c r="AB333" s="1"/>
      <c r="AC333" s="1"/>
      <c r="AD333" s="1"/>
      <c r="AE333" s="1"/>
    </row>
    <row r="334" spans="1:31" ht="25" x14ac:dyDescent="0.25">
      <c r="A334" s="1"/>
      <c r="B334" s="128"/>
      <c r="C334" s="36" t="s">
        <v>71</v>
      </c>
      <c r="D334" s="37" t="s">
        <v>25</v>
      </c>
      <c r="E334" s="39" t="s">
        <v>32</v>
      </c>
      <c r="F334" s="39">
        <v>2</v>
      </c>
      <c r="G334" s="38">
        <v>45879</v>
      </c>
      <c r="H334" s="40"/>
      <c r="I334" s="41"/>
      <c r="J334" s="40"/>
      <c r="K334" s="41"/>
      <c r="L334" s="39">
        <v>0</v>
      </c>
      <c r="M334" s="39">
        <v>0</v>
      </c>
      <c r="N334" s="39" t="s">
        <v>30</v>
      </c>
      <c r="O334" s="36" t="s">
        <v>72</v>
      </c>
      <c r="P334" s="36" t="s">
        <v>34</v>
      </c>
      <c r="Q334" s="42" t="s">
        <v>73</v>
      </c>
      <c r="R334" s="1"/>
      <c r="S334" s="1"/>
      <c r="T334" s="1"/>
      <c r="U334" s="1"/>
      <c r="V334" s="1"/>
      <c r="W334" s="1"/>
      <c r="X334" s="1"/>
      <c r="Y334" s="1"/>
      <c r="Z334" s="1"/>
      <c r="AA334" s="1"/>
      <c r="AB334" s="1"/>
      <c r="AC334" s="1"/>
      <c r="AD334" s="1"/>
      <c r="AE334" s="1"/>
    </row>
    <row r="335" spans="1:31" ht="25" x14ac:dyDescent="0.25">
      <c r="A335" s="1"/>
      <c r="B335" s="128"/>
      <c r="C335" s="43" t="s">
        <v>74</v>
      </c>
      <c r="D335" s="44" t="s">
        <v>25</v>
      </c>
      <c r="E335" s="46" t="s">
        <v>32</v>
      </c>
      <c r="F335" s="46">
        <v>1</v>
      </c>
      <c r="G335" s="45">
        <v>45879</v>
      </c>
      <c r="H335" s="47"/>
      <c r="I335" s="48"/>
      <c r="J335" s="47"/>
      <c r="K335" s="48"/>
      <c r="L335" s="46">
        <v>0</v>
      </c>
      <c r="M335" s="46" t="s">
        <v>25</v>
      </c>
      <c r="N335" s="46" t="s">
        <v>30</v>
      </c>
      <c r="O335" s="43" t="s">
        <v>75</v>
      </c>
      <c r="P335" s="51" t="s">
        <v>76</v>
      </c>
      <c r="Q335" s="49" t="s">
        <v>77</v>
      </c>
      <c r="R335" s="1"/>
      <c r="S335" s="1"/>
      <c r="T335" s="1"/>
      <c r="U335" s="1"/>
      <c r="V335" s="1"/>
      <c r="W335" s="1"/>
      <c r="X335" s="1"/>
      <c r="Y335" s="1"/>
      <c r="Z335" s="1"/>
      <c r="AA335" s="1"/>
      <c r="AB335" s="1"/>
      <c r="AC335" s="1"/>
      <c r="AD335" s="1"/>
      <c r="AE335" s="1"/>
    </row>
    <row r="336" spans="1:31" ht="25" x14ac:dyDescent="0.25">
      <c r="A336" s="1"/>
      <c r="B336" s="128"/>
      <c r="C336" s="36" t="s">
        <v>78</v>
      </c>
      <c r="D336" s="37" t="s">
        <v>25</v>
      </c>
      <c r="E336" s="39" t="s">
        <v>32</v>
      </c>
      <c r="F336" s="39">
        <v>2</v>
      </c>
      <c r="G336" s="38">
        <v>45816</v>
      </c>
      <c r="H336" s="40"/>
      <c r="I336" s="41"/>
      <c r="J336" s="40"/>
      <c r="K336" s="41"/>
      <c r="L336" s="39">
        <v>0</v>
      </c>
      <c r="M336" s="39">
        <v>0</v>
      </c>
      <c r="N336" s="39" t="s">
        <v>30</v>
      </c>
      <c r="O336" s="50" t="s">
        <v>79</v>
      </c>
      <c r="P336" s="50" t="s">
        <v>80</v>
      </c>
      <c r="Q336" s="42" t="s">
        <v>81</v>
      </c>
      <c r="R336" s="1"/>
      <c r="S336" s="1"/>
      <c r="T336" s="1"/>
      <c r="U336" s="1"/>
      <c r="V336" s="1"/>
      <c r="W336" s="1"/>
      <c r="X336" s="1"/>
      <c r="Y336" s="1"/>
      <c r="Z336" s="1"/>
      <c r="AA336" s="1"/>
      <c r="AB336" s="1"/>
      <c r="AC336" s="1"/>
      <c r="AD336" s="1"/>
      <c r="AE336" s="1"/>
    </row>
    <row r="337" spans="1:31" ht="37.5" x14ac:dyDescent="0.25">
      <c r="A337" s="1"/>
      <c r="B337" s="130" t="s">
        <v>143</v>
      </c>
      <c r="C337" s="29" t="s">
        <v>48</v>
      </c>
      <c r="D337" s="30" t="s">
        <v>133</v>
      </c>
      <c r="E337" s="31">
        <v>45659</v>
      </c>
      <c r="F337" s="32">
        <v>2</v>
      </c>
      <c r="G337" s="31">
        <v>45879</v>
      </c>
      <c r="H337" s="33"/>
      <c r="I337" s="34"/>
      <c r="J337" s="33"/>
      <c r="K337" s="34"/>
      <c r="L337" s="32">
        <v>0</v>
      </c>
      <c r="M337" s="32">
        <v>0</v>
      </c>
      <c r="N337" s="32" t="s">
        <v>30</v>
      </c>
      <c r="O337" s="29" t="s">
        <v>49</v>
      </c>
      <c r="P337" s="29" t="s">
        <v>50</v>
      </c>
      <c r="Q337" s="35" t="s">
        <v>51</v>
      </c>
      <c r="R337" s="1"/>
      <c r="S337" s="1"/>
      <c r="T337" s="1"/>
      <c r="U337" s="1"/>
      <c r="V337" s="1"/>
      <c r="W337" s="1"/>
      <c r="X337" s="1"/>
      <c r="Y337" s="1"/>
      <c r="Z337" s="1"/>
      <c r="AA337" s="1"/>
      <c r="AB337" s="1"/>
      <c r="AC337" s="1"/>
      <c r="AD337" s="1"/>
      <c r="AE337" s="1"/>
    </row>
    <row r="338" spans="1:31" ht="37.5" x14ac:dyDescent="0.25">
      <c r="A338" s="1"/>
      <c r="B338" s="128"/>
      <c r="C338" s="36" t="s">
        <v>82</v>
      </c>
      <c r="D338" s="37" t="s">
        <v>25</v>
      </c>
      <c r="E338" s="38">
        <v>45691</v>
      </c>
      <c r="F338" s="39">
        <v>2</v>
      </c>
      <c r="G338" s="38">
        <v>45816</v>
      </c>
      <c r="H338" s="40"/>
      <c r="I338" s="41"/>
      <c r="J338" s="40"/>
      <c r="K338" s="41"/>
      <c r="L338" s="39">
        <v>2</v>
      </c>
      <c r="M338" s="39">
        <v>1</v>
      </c>
      <c r="N338" s="39" t="s">
        <v>37</v>
      </c>
      <c r="O338" s="36" t="s">
        <v>83</v>
      </c>
      <c r="P338" s="36" t="s">
        <v>84</v>
      </c>
      <c r="Q338" s="42" t="s">
        <v>85</v>
      </c>
      <c r="R338" s="1"/>
      <c r="S338" s="1"/>
      <c r="T338" s="1"/>
      <c r="U338" s="1"/>
      <c r="V338" s="1"/>
      <c r="W338" s="1"/>
      <c r="X338" s="1"/>
      <c r="Y338" s="1"/>
      <c r="Z338" s="1"/>
      <c r="AA338" s="1"/>
      <c r="AB338" s="1"/>
      <c r="AC338" s="1"/>
      <c r="AD338" s="1"/>
      <c r="AE338" s="1"/>
    </row>
    <row r="339" spans="1:31" x14ac:dyDescent="0.25">
      <c r="A339" s="1"/>
      <c r="B339" s="128"/>
      <c r="C339" s="43" t="s">
        <v>86</v>
      </c>
      <c r="D339" s="44" t="s">
        <v>25</v>
      </c>
      <c r="E339" s="45">
        <v>45692</v>
      </c>
      <c r="F339" s="46">
        <v>2</v>
      </c>
      <c r="G339" s="45">
        <v>45816</v>
      </c>
      <c r="H339" s="47"/>
      <c r="I339" s="48"/>
      <c r="J339" s="47"/>
      <c r="K339" s="48"/>
      <c r="L339" s="46">
        <v>1</v>
      </c>
      <c r="M339" s="46">
        <v>0</v>
      </c>
      <c r="N339" s="46" t="s">
        <v>37</v>
      </c>
      <c r="O339" s="43" t="s">
        <v>87</v>
      </c>
      <c r="P339" s="43" t="s">
        <v>88</v>
      </c>
      <c r="Q339" s="49" t="s">
        <v>89</v>
      </c>
      <c r="R339" s="1"/>
      <c r="S339" s="1"/>
      <c r="T339" s="1"/>
      <c r="U339" s="1"/>
      <c r="V339" s="1"/>
      <c r="W339" s="1"/>
      <c r="X339" s="1"/>
      <c r="Y339" s="1"/>
      <c r="Z339" s="1"/>
      <c r="AA339" s="1"/>
      <c r="AB339" s="1"/>
      <c r="AC339" s="1"/>
      <c r="AD339" s="1"/>
      <c r="AE339" s="1"/>
    </row>
    <row r="340" spans="1:31" ht="25" x14ac:dyDescent="0.25">
      <c r="A340" s="1"/>
      <c r="B340" s="128"/>
      <c r="C340" s="36" t="s">
        <v>90</v>
      </c>
      <c r="D340" s="37" t="s">
        <v>25</v>
      </c>
      <c r="E340" s="38">
        <v>45692</v>
      </c>
      <c r="F340" s="39">
        <v>1</v>
      </c>
      <c r="G340" s="38">
        <v>45816</v>
      </c>
      <c r="H340" s="40"/>
      <c r="I340" s="41"/>
      <c r="J340" s="40"/>
      <c r="K340" s="41"/>
      <c r="L340" s="39">
        <v>0</v>
      </c>
      <c r="M340" s="39" t="s">
        <v>25</v>
      </c>
      <c r="N340" s="39" t="s">
        <v>37</v>
      </c>
      <c r="O340" s="36" t="s">
        <v>91</v>
      </c>
      <c r="P340" s="36" t="s">
        <v>92</v>
      </c>
      <c r="Q340" s="42" t="s">
        <v>93</v>
      </c>
      <c r="R340" s="1"/>
      <c r="S340" s="1"/>
      <c r="T340" s="1"/>
      <c r="U340" s="1"/>
      <c r="V340" s="1"/>
      <c r="W340" s="1"/>
      <c r="X340" s="1"/>
      <c r="Y340" s="1"/>
      <c r="Z340" s="1"/>
      <c r="AA340" s="1"/>
      <c r="AB340" s="1"/>
      <c r="AC340" s="1"/>
      <c r="AD340" s="1"/>
      <c r="AE340" s="1"/>
    </row>
    <row r="341" spans="1:31" ht="37.5" x14ac:dyDescent="0.25">
      <c r="A341" s="1"/>
      <c r="B341" s="131"/>
      <c r="C341" s="64" t="s">
        <v>52</v>
      </c>
      <c r="D341" s="65" t="s">
        <v>133</v>
      </c>
      <c r="E341" s="66" t="s">
        <v>32</v>
      </c>
      <c r="F341" s="66">
        <v>2</v>
      </c>
      <c r="G341" s="69">
        <v>45879</v>
      </c>
      <c r="H341" s="67"/>
      <c r="I341" s="68"/>
      <c r="J341" s="67"/>
      <c r="K341" s="68"/>
      <c r="L341" s="66">
        <v>0</v>
      </c>
      <c r="M341" s="66">
        <v>0</v>
      </c>
      <c r="N341" s="66" t="s">
        <v>30</v>
      </c>
      <c r="O341" s="64" t="s">
        <v>53</v>
      </c>
      <c r="P341" s="64" t="s">
        <v>54</v>
      </c>
      <c r="Q341" s="70" t="s">
        <v>55</v>
      </c>
      <c r="R341" s="1"/>
      <c r="S341" s="1"/>
      <c r="T341" s="1"/>
      <c r="U341" s="1"/>
      <c r="V341" s="1"/>
      <c r="W341" s="1"/>
      <c r="X341" s="1"/>
      <c r="Y341" s="1"/>
      <c r="Z341" s="1"/>
      <c r="AA341" s="1"/>
      <c r="AB341" s="1"/>
      <c r="AC341" s="1"/>
      <c r="AD341" s="1"/>
      <c r="AE341" s="1"/>
    </row>
    <row r="342" spans="1:31" ht="37.5" x14ac:dyDescent="0.25">
      <c r="A342" s="1"/>
      <c r="B342" s="130" t="s">
        <v>94</v>
      </c>
      <c r="C342" s="36" t="s">
        <v>95</v>
      </c>
      <c r="D342" s="37" t="s">
        <v>25</v>
      </c>
      <c r="E342" s="39" t="s">
        <v>32</v>
      </c>
      <c r="F342" s="39">
        <v>2</v>
      </c>
      <c r="G342" s="38">
        <v>45816</v>
      </c>
      <c r="H342" s="40"/>
      <c r="I342" s="41"/>
      <c r="J342" s="40"/>
      <c r="K342" s="41"/>
      <c r="L342" s="39">
        <v>0</v>
      </c>
      <c r="M342" s="39">
        <v>0</v>
      </c>
      <c r="N342" s="39" t="s">
        <v>30</v>
      </c>
      <c r="O342" s="36" t="s">
        <v>96</v>
      </c>
      <c r="P342" s="36" t="s">
        <v>97</v>
      </c>
      <c r="Q342" s="42" t="s">
        <v>98</v>
      </c>
      <c r="R342" s="1"/>
      <c r="S342" s="1"/>
      <c r="T342" s="1"/>
      <c r="U342" s="1"/>
      <c r="V342" s="1"/>
      <c r="W342" s="1"/>
      <c r="X342" s="1"/>
      <c r="Y342" s="1"/>
      <c r="Z342" s="1"/>
      <c r="AA342" s="1"/>
      <c r="AB342" s="1"/>
      <c r="AC342" s="1"/>
      <c r="AD342" s="1"/>
      <c r="AE342" s="1"/>
    </row>
    <row r="343" spans="1:31" ht="25" x14ac:dyDescent="0.25">
      <c r="A343" s="1"/>
      <c r="B343" s="128"/>
      <c r="C343" s="43" t="s">
        <v>99</v>
      </c>
      <c r="D343" s="44" t="s">
        <v>25</v>
      </c>
      <c r="E343" s="46" t="s">
        <v>32</v>
      </c>
      <c r="F343" s="46">
        <v>2</v>
      </c>
      <c r="G343" s="45">
        <v>45879</v>
      </c>
      <c r="H343" s="47"/>
      <c r="I343" s="48"/>
      <c r="J343" s="47"/>
      <c r="K343" s="48"/>
      <c r="L343" s="46">
        <v>0</v>
      </c>
      <c r="M343" s="46">
        <v>0</v>
      </c>
      <c r="N343" s="46" t="s">
        <v>30</v>
      </c>
      <c r="O343" s="43" t="s">
        <v>100</v>
      </c>
      <c r="P343" s="43" t="s">
        <v>101</v>
      </c>
      <c r="Q343" s="49" t="s">
        <v>102</v>
      </c>
      <c r="R343" s="1"/>
      <c r="S343" s="1"/>
      <c r="T343" s="1"/>
      <c r="U343" s="1"/>
      <c r="V343" s="1"/>
      <c r="W343" s="1"/>
      <c r="X343" s="1"/>
      <c r="Y343" s="1"/>
      <c r="Z343" s="1"/>
      <c r="AA343" s="1"/>
      <c r="AB343" s="1"/>
      <c r="AC343" s="1"/>
      <c r="AD343" s="1"/>
      <c r="AE343" s="1"/>
    </row>
    <row r="344" spans="1:31" ht="25" x14ac:dyDescent="0.25">
      <c r="A344" s="1"/>
      <c r="B344" s="128"/>
      <c r="C344" s="36" t="s">
        <v>103</v>
      </c>
      <c r="D344" s="37" t="s">
        <v>25</v>
      </c>
      <c r="E344" s="39" t="s">
        <v>32</v>
      </c>
      <c r="F344" s="39">
        <v>1</v>
      </c>
      <c r="G344" s="38">
        <v>45879</v>
      </c>
      <c r="H344" s="40"/>
      <c r="I344" s="41"/>
      <c r="J344" s="40"/>
      <c r="K344" s="41"/>
      <c r="L344" s="39">
        <v>0</v>
      </c>
      <c r="M344" s="39" t="s">
        <v>25</v>
      </c>
      <c r="N344" s="39" t="s">
        <v>30</v>
      </c>
      <c r="O344" s="36" t="s">
        <v>104</v>
      </c>
      <c r="P344" s="36" t="s">
        <v>105</v>
      </c>
      <c r="Q344" s="42" t="s">
        <v>106</v>
      </c>
      <c r="R344" s="1"/>
      <c r="S344" s="1"/>
      <c r="T344" s="1"/>
      <c r="U344" s="1"/>
      <c r="V344" s="1"/>
      <c r="W344" s="1"/>
      <c r="X344" s="1"/>
      <c r="Y344" s="1"/>
      <c r="Z344" s="1"/>
      <c r="AA344" s="1"/>
      <c r="AB344" s="1"/>
      <c r="AC344" s="1"/>
      <c r="AD344" s="1"/>
      <c r="AE344" s="1"/>
    </row>
    <row r="345" spans="1:31" x14ac:dyDescent="0.25">
      <c r="A345" s="1"/>
      <c r="B345" s="128"/>
      <c r="C345" s="43" t="s">
        <v>107</v>
      </c>
      <c r="D345" s="44" t="s">
        <v>132</v>
      </c>
      <c r="E345" s="46" t="s">
        <v>32</v>
      </c>
      <c r="F345" s="46">
        <v>2</v>
      </c>
      <c r="G345" s="45">
        <v>45879</v>
      </c>
      <c r="H345" s="47"/>
      <c r="I345" s="48"/>
      <c r="J345" s="47"/>
      <c r="K345" s="48"/>
      <c r="L345" s="46">
        <v>0</v>
      </c>
      <c r="M345" s="46">
        <v>0</v>
      </c>
      <c r="N345" s="46" t="s">
        <v>30</v>
      </c>
      <c r="O345" s="43" t="s">
        <v>108</v>
      </c>
      <c r="P345" s="43" t="s">
        <v>109</v>
      </c>
      <c r="Q345" s="49" t="s">
        <v>110</v>
      </c>
      <c r="R345" s="1"/>
      <c r="S345" s="1"/>
      <c r="T345" s="1"/>
      <c r="U345" s="1"/>
      <c r="V345" s="1"/>
      <c r="W345" s="1"/>
      <c r="X345" s="1"/>
      <c r="Y345" s="1"/>
      <c r="Z345" s="1"/>
      <c r="AA345" s="1"/>
      <c r="AB345" s="1"/>
      <c r="AC345" s="1"/>
      <c r="AD345" s="1"/>
      <c r="AE345" s="1"/>
    </row>
    <row r="346" spans="1:31" x14ac:dyDescent="0.25">
      <c r="A346" s="1"/>
      <c r="B346" s="128"/>
      <c r="C346" s="36" t="s">
        <v>111</v>
      </c>
      <c r="D346" s="37" t="s">
        <v>25</v>
      </c>
      <c r="E346" s="39" t="s">
        <v>32</v>
      </c>
      <c r="F346" s="39">
        <v>2</v>
      </c>
      <c r="G346" s="38">
        <v>45879</v>
      </c>
      <c r="H346" s="40"/>
      <c r="I346" s="41"/>
      <c r="J346" s="40"/>
      <c r="K346" s="41"/>
      <c r="L346" s="39">
        <v>0</v>
      </c>
      <c r="M346" s="39">
        <v>0</v>
      </c>
      <c r="N346" s="39" t="s">
        <v>30</v>
      </c>
      <c r="O346" s="36" t="s">
        <v>112</v>
      </c>
      <c r="P346" s="37" t="s">
        <v>25</v>
      </c>
      <c r="Q346" s="42" t="s">
        <v>113</v>
      </c>
      <c r="R346" s="1"/>
      <c r="S346" s="1"/>
      <c r="T346" s="1"/>
      <c r="U346" s="1"/>
      <c r="V346" s="1"/>
      <c r="W346" s="1"/>
      <c r="X346" s="1"/>
      <c r="Y346" s="1"/>
      <c r="Z346" s="1"/>
      <c r="AA346" s="1"/>
      <c r="AB346" s="1"/>
      <c r="AC346" s="1"/>
      <c r="AD346" s="1"/>
      <c r="AE346" s="1"/>
    </row>
    <row r="347" spans="1:31" x14ac:dyDescent="0.25">
      <c r="A347" s="1"/>
      <c r="B347" s="128"/>
      <c r="C347" s="43" t="s">
        <v>114</v>
      </c>
      <c r="D347" s="44" t="s">
        <v>25</v>
      </c>
      <c r="E347" s="46" t="s">
        <v>32</v>
      </c>
      <c r="F347" s="46">
        <v>2</v>
      </c>
      <c r="G347" s="45">
        <v>45879</v>
      </c>
      <c r="H347" s="47"/>
      <c r="I347" s="48"/>
      <c r="J347" s="47"/>
      <c r="K347" s="48"/>
      <c r="L347" s="46">
        <v>0</v>
      </c>
      <c r="M347" s="46">
        <v>0</v>
      </c>
      <c r="N347" s="46" t="s">
        <v>30</v>
      </c>
      <c r="O347" s="43" t="s">
        <v>115</v>
      </c>
      <c r="P347" s="44" t="s">
        <v>25</v>
      </c>
      <c r="Q347" s="49" t="s">
        <v>113</v>
      </c>
      <c r="R347" s="1"/>
      <c r="S347" s="1"/>
      <c r="T347" s="1"/>
      <c r="U347" s="1"/>
      <c r="V347" s="1"/>
      <c r="W347" s="1"/>
      <c r="X347" s="1"/>
      <c r="Y347" s="1"/>
      <c r="Z347" s="1"/>
      <c r="AA347" s="1"/>
      <c r="AB347" s="1"/>
      <c r="AC347" s="1"/>
      <c r="AD347" s="1"/>
      <c r="AE347" s="1"/>
    </row>
    <row r="348" spans="1:31" x14ac:dyDescent="0.25">
      <c r="A348" s="1"/>
      <c r="B348" s="128"/>
      <c r="C348" s="36" t="s">
        <v>116</v>
      </c>
      <c r="D348" s="37" t="s">
        <v>132</v>
      </c>
      <c r="E348" s="39" t="s">
        <v>32</v>
      </c>
      <c r="F348" s="39">
        <v>1</v>
      </c>
      <c r="G348" s="38">
        <v>45816</v>
      </c>
      <c r="H348" s="40"/>
      <c r="I348" s="41"/>
      <c r="J348" s="40"/>
      <c r="K348" s="41"/>
      <c r="L348" s="39">
        <v>0</v>
      </c>
      <c r="M348" s="39" t="s">
        <v>25</v>
      </c>
      <c r="N348" s="39" t="s">
        <v>30</v>
      </c>
      <c r="O348" s="36" t="s">
        <v>117</v>
      </c>
      <c r="P348" s="36" t="s">
        <v>118</v>
      </c>
      <c r="Q348" s="42" t="s">
        <v>119</v>
      </c>
      <c r="R348" s="1"/>
      <c r="S348" s="1"/>
      <c r="T348" s="1"/>
      <c r="U348" s="1"/>
      <c r="V348" s="1"/>
      <c r="W348" s="1"/>
      <c r="X348" s="1"/>
      <c r="Y348" s="1"/>
      <c r="Z348" s="1"/>
      <c r="AA348" s="1"/>
      <c r="AB348" s="1"/>
      <c r="AC348" s="1"/>
      <c r="AD348" s="1"/>
      <c r="AE348" s="1"/>
    </row>
    <row r="349" spans="1:31" ht="25" x14ac:dyDescent="0.25">
      <c r="A349" s="1"/>
      <c r="B349" s="128"/>
      <c r="C349" s="43" t="s">
        <v>34</v>
      </c>
      <c r="D349" s="44" t="s">
        <v>134</v>
      </c>
      <c r="E349" s="46" t="s">
        <v>32</v>
      </c>
      <c r="F349" s="46">
        <v>2</v>
      </c>
      <c r="G349" s="45">
        <v>45879</v>
      </c>
      <c r="H349" s="47"/>
      <c r="I349" s="46"/>
      <c r="J349" s="47"/>
      <c r="K349" s="48"/>
      <c r="L349" s="46">
        <v>0</v>
      </c>
      <c r="M349" s="46">
        <v>0</v>
      </c>
      <c r="N349" s="46" t="s">
        <v>30</v>
      </c>
      <c r="O349" s="43" t="s">
        <v>71</v>
      </c>
      <c r="P349" s="43" t="s">
        <v>72</v>
      </c>
      <c r="Q349" s="49" t="s">
        <v>120</v>
      </c>
      <c r="R349" s="1"/>
      <c r="S349" s="1"/>
      <c r="T349" s="1"/>
      <c r="U349" s="1"/>
      <c r="V349" s="1"/>
      <c r="W349" s="1"/>
      <c r="X349" s="1"/>
      <c r="Y349" s="1"/>
      <c r="Z349" s="1"/>
      <c r="AA349" s="1"/>
      <c r="AB349" s="1"/>
      <c r="AC349" s="1"/>
      <c r="AD349" s="1"/>
      <c r="AE349" s="1"/>
    </row>
    <row r="350" spans="1:31" x14ac:dyDescent="0.25">
      <c r="A350" s="1"/>
      <c r="B350" s="131"/>
      <c r="C350" s="59" t="s">
        <v>121</v>
      </c>
      <c r="D350" s="60" t="s">
        <v>25</v>
      </c>
      <c r="E350" s="61" t="s">
        <v>32</v>
      </c>
      <c r="F350" s="61">
        <v>2</v>
      </c>
      <c r="G350" s="61" t="s">
        <v>25</v>
      </c>
      <c r="H350" s="62"/>
      <c r="I350" s="61"/>
      <c r="J350" s="62"/>
      <c r="K350" s="63"/>
      <c r="L350" s="61">
        <v>0</v>
      </c>
      <c r="M350" s="61">
        <v>0</v>
      </c>
      <c r="N350" s="61" t="s">
        <v>30</v>
      </c>
      <c r="O350" s="60" t="s">
        <v>25</v>
      </c>
      <c r="P350" s="60" t="s">
        <v>25</v>
      </c>
      <c r="Q350" s="71" t="s">
        <v>122</v>
      </c>
      <c r="R350" s="1"/>
      <c r="S350" s="1"/>
      <c r="T350" s="1"/>
      <c r="U350" s="1"/>
      <c r="V350" s="1"/>
      <c r="W350" s="1"/>
      <c r="X350" s="1"/>
      <c r="Y350" s="1"/>
      <c r="Z350" s="1"/>
      <c r="AA350" s="1"/>
      <c r="AB350" s="1"/>
      <c r="AC350" s="1"/>
      <c r="AD350" s="1"/>
      <c r="AE350" s="1"/>
    </row>
    <row r="351" spans="1:31" ht="13" x14ac:dyDescent="0.25">
      <c r="A351" s="1"/>
      <c r="B351" s="155" t="s">
        <v>141</v>
      </c>
      <c r="C351" s="156"/>
      <c r="D351" s="156"/>
      <c r="E351" s="156"/>
      <c r="F351" s="156"/>
      <c r="G351" s="156"/>
      <c r="H351" s="156"/>
      <c r="I351" s="156"/>
      <c r="J351" s="156"/>
      <c r="K351" s="156"/>
      <c r="L351" s="156"/>
      <c r="M351" s="156"/>
      <c r="N351" s="156"/>
      <c r="O351" s="156"/>
      <c r="P351" s="156"/>
      <c r="Q351" s="157"/>
      <c r="R351" s="1"/>
      <c r="S351" s="1"/>
      <c r="T351" s="1"/>
      <c r="U351" s="1"/>
      <c r="V351" s="1"/>
      <c r="W351" s="1"/>
      <c r="X351" s="1"/>
      <c r="Y351" s="1"/>
      <c r="Z351" s="1"/>
      <c r="AA351" s="1"/>
      <c r="AB351" s="1"/>
      <c r="AC351" s="1"/>
      <c r="AD351" s="1"/>
      <c r="AE351" s="1"/>
    </row>
    <row r="352" spans="1:31" x14ac:dyDescent="0.25">
      <c r="A352" s="1"/>
      <c r="B352" s="1"/>
      <c r="C352" s="5"/>
      <c r="D352" s="5"/>
      <c r="E352" s="1"/>
      <c r="F352" s="1"/>
      <c r="G352" s="1"/>
      <c r="H352" s="1"/>
      <c r="I352" s="1"/>
      <c r="J352" s="1"/>
      <c r="K352" s="1"/>
      <c r="L352" s="1"/>
      <c r="M352" s="1"/>
      <c r="N352" s="1"/>
      <c r="O352" s="5"/>
      <c r="P352" s="5"/>
      <c r="Q352" s="5"/>
      <c r="R352" s="1"/>
      <c r="S352" s="1"/>
      <c r="T352" s="1"/>
      <c r="U352" s="1"/>
      <c r="V352" s="1"/>
      <c r="W352" s="1"/>
      <c r="X352" s="1"/>
      <c r="Y352" s="1"/>
      <c r="Z352" s="1"/>
      <c r="AA352" s="1"/>
      <c r="AB352" s="1"/>
      <c r="AC352" s="1"/>
      <c r="AD352" s="1"/>
      <c r="AE352" s="1"/>
    </row>
    <row r="353" spans="1:31" x14ac:dyDescent="0.25">
      <c r="A353" s="1"/>
      <c r="B353" s="1"/>
      <c r="C353" s="5"/>
      <c r="D353" s="5"/>
      <c r="E353" s="1"/>
      <c r="F353" s="1"/>
      <c r="G353" s="1"/>
      <c r="H353" s="1"/>
      <c r="I353" s="1"/>
      <c r="J353" s="1"/>
      <c r="K353" s="1"/>
      <c r="L353" s="1"/>
      <c r="M353" s="1"/>
      <c r="N353" s="1"/>
      <c r="O353" s="5"/>
      <c r="P353" s="5"/>
      <c r="Q353" s="5"/>
      <c r="R353" s="1"/>
      <c r="S353" s="1"/>
      <c r="T353" s="1"/>
      <c r="U353" s="1"/>
      <c r="V353" s="1"/>
      <c r="W353" s="1"/>
      <c r="X353" s="1"/>
      <c r="Y353" s="1"/>
      <c r="Z353" s="1"/>
      <c r="AA353" s="1"/>
      <c r="AB353" s="1"/>
      <c r="AC353" s="1"/>
      <c r="AD353" s="1"/>
      <c r="AE353" s="1"/>
    </row>
    <row r="354" spans="1:31" x14ac:dyDescent="0.25">
      <c r="A354" s="1"/>
      <c r="B354" s="132" t="s">
        <v>138</v>
      </c>
      <c r="C354" s="135" t="s">
        <v>7</v>
      </c>
      <c r="D354" s="135" t="s">
        <v>8</v>
      </c>
      <c r="E354" s="135" t="s">
        <v>9</v>
      </c>
      <c r="F354" s="139" t="s">
        <v>10</v>
      </c>
      <c r="G354" s="142" t="s">
        <v>11</v>
      </c>
      <c r="H354" s="143" t="s">
        <v>12</v>
      </c>
      <c r="I354" s="144"/>
      <c r="J354" s="144"/>
      <c r="K354" s="145"/>
      <c r="L354" s="146" t="s">
        <v>13</v>
      </c>
      <c r="M354" s="147"/>
      <c r="N354" s="150" t="s">
        <v>14</v>
      </c>
      <c r="O354" s="138" t="s">
        <v>15</v>
      </c>
      <c r="P354" s="138" t="s">
        <v>16</v>
      </c>
      <c r="Q354" s="135" t="s">
        <v>17</v>
      </c>
      <c r="R354" s="1"/>
      <c r="S354" s="1"/>
      <c r="T354" s="1"/>
      <c r="U354" s="1"/>
      <c r="V354" s="1"/>
      <c r="W354" s="1"/>
      <c r="X354" s="1"/>
      <c r="Y354" s="1"/>
      <c r="Z354" s="1"/>
      <c r="AA354" s="1"/>
      <c r="AB354" s="1"/>
      <c r="AC354" s="1"/>
      <c r="AD354" s="1"/>
      <c r="AE354" s="1"/>
    </row>
    <row r="355" spans="1:31" x14ac:dyDescent="0.25">
      <c r="A355" s="1"/>
      <c r="B355" s="133"/>
      <c r="C355" s="136"/>
      <c r="D355" s="136"/>
      <c r="E355" s="136"/>
      <c r="F355" s="140"/>
      <c r="G355" s="128"/>
      <c r="H355" s="152" t="s">
        <v>18</v>
      </c>
      <c r="I355" s="153"/>
      <c r="J355" s="154" t="s">
        <v>19</v>
      </c>
      <c r="K355" s="153"/>
      <c r="L355" s="148"/>
      <c r="M355" s="149"/>
      <c r="N355" s="149"/>
      <c r="O355" s="136"/>
      <c r="P355" s="136"/>
      <c r="Q355" s="136"/>
      <c r="R355" s="1"/>
      <c r="S355" s="1"/>
      <c r="T355" s="1"/>
      <c r="U355" s="1"/>
      <c r="V355" s="1"/>
      <c r="W355" s="1"/>
      <c r="X355" s="1"/>
      <c r="Y355" s="1"/>
      <c r="Z355" s="1"/>
      <c r="AA355" s="1"/>
      <c r="AB355" s="1"/>
      <c r="AC355" s="1"/>
      <c r="AD355" s="1"/>
      <c r="AE355" s="1"/>
    </row>
    <row r="356" spans="1:31" ht="13" x14ac:dyDescent="0.25">
      <c r="A356" s="1"/>
      <c r="B356" s="134"/>
      <c r="C356" s="137"/>
      <c r="D356" s="137"/>
      <c r="E356" s="137"/>
      <c r="F356" s="141"/>
      <c r="G356" s="128"/>
      <c r="H356" s="9" t="s">
        <v>20</v>
      </c>
      <c r="I356" s="10" t="s">
        <v>21</v>
      </c>
      <c r="J356" s="11" t="s">
        <v>20</v>
      </c>
      <c r="K356" s="10" t="s">
        <v>21</v>
      </c>
      <c r="L356" s="12" t="s">
        <v>22</v>
      </c>
      <c r="M356" s="12" t="s">
        <v>23</v>
      </c>
      <c r="N356" s="151"/>
      <c r="O356" s="137"/>
      <c r="P356" s="137"/>
      <c r="Q356" s="137"/>
      <c r="R356" s="1"/>
      <c r="S356" s="1"/>
      <c r="T356" s="1"/>
      <c r="U356" s="1"/>
      <c r="V356" s="1"/>
      <c r="W356" s="1"/>
      <c r="X356" s="1"/>
      <c r="Y356" s="1"/>
      <c r="Z356" s="1"/>
      <c r="AA356" s="1"/>
      <c r="AB356" s="1"/>
      <c r="AC356" s="1"/>
      <c r="AD356" s="1"/>
      <c r="AE356" s="1"/>
    </row>
    <row r="357" spans="1:31" ht="25" x14ac:dyDescent="0.25">
      <c r="A357" s="1"/>
      <c r="B357" s="127" t="s">
        <v>140</v>
      </c>
      <c r="C357" s="13" t="s">
        <v>41</v>
      </c>
      <c r="D357" s="14" t="s">
        <v>133</v>
      </c>
      <c r="E357" s="15">
        <v>45659</v>
      </c>
      <c r="F357" s="14">
        <v>2</v>
      </c>
      <c r="G357" s="15">
        <v>45816</v>
      </c>
      <c r="H357" s="16"/>
      <c r="I357" s="17"/>
      <c r="J357" s="18"/>
      <c r="K357" s="17"/>
      <c r="L357" s="14">
        <v>0</v>
      </c>
      <c r="M357" s="14">
        <v>0</v>
      </c>
      <c r="N357" s="14" t="s">
        <v>30</v>
      </c>
      <c r="O357" s="13" t="s">
        <v>42</v>
      </c>
      <c r="P357" s="13" t="s">
        <v>43</v>
      </c>
      <c r="Q357" s="19" t="s">
        <v>44</v>
      </c>
      <c r="R357" s="1"/>
      <c r="S357" s="1"/>
      <c r="T357" s="1"/>
      <c r="U357" s="1"/>
      <c r="V357" s="1"/>
      <c r="W357" s="1"/>
      <c r="X357" s="1"/>
      <c r="Y357" s="1"/>
      <c r="Z357" s="1"/>
      <c r="AA357" s="1"/>
      <c r="AB357" s="1"/>
      <c r="AC357" s="1"/>
      <c r="AD357" s="1"/>
      <c r="AE357" s="1"/>
    </row>
    <row r="358" spans="1:31" ht="25" x14ac:dyDescent="0.25">
      <c r="A358" s="1"/>
      <c r="B358" s="128"/>
      <c r="C358" s="90" t="s">
        <v>45</v>
      </c>
      <c r="D358" s="21" t="s">
        <v>25</v>
      </c>
      <c r="E358" s="22">
        <v>45692</v>
      </c>
      <c r="F358" s="21">
        <v>2</v>
      </c>
      <c r="G358" s="22">
        <v>45816</v>
      </c>
      <c r="H358" s="23"/>
      <c r="I358" s="24"/>
      <c r="J358" s="25"/>
      <c r="K358" s="24"/>
      <c r="L358" s="21">
        <v>1</v>
      </c>
      <c r="M358" s="21">
        <v>0</v>
      </c>
      <c r="N358" s="21" t="s">
        <v>26</v>
      </c>
      <c r="O358" s="21" t="s">
        <v>46</v>
      </c>
      <c r="P358" s="21" t="s">
        <v>46</v>
      </c>
      <c r="Q358" s="26" t="s">
        <v>47</v>
      </c>
      <c r="R358" s="1"/>
      <c r="S358" s="1"/>
      <c r="T358" s="1"/>
      <c r="U358" s="1"/>
      <c r="V358" s="1"/>
      <c r="W358" s="1"/>
      <c r="X358" s="1"/>
      <c r="Y358" s="1"/>
      <c r="Z358" s="1"/>
      <c r="AA358" s="1"/>
      <c r="AB358" s="1"/>
      <c r="AC358" s="1"/>
      <c r="AD358" s="1"/>
      <c r="AE358" s="1"/>
    </row>
    <row r="359" spans="1:31" ht="25" x14ac:dyDescent="0.25">
      <c r="A359" s="1"/>
      <c r="B359" s="128"/>
      <c r="C359" s="20" t="s">
        <v>24</v>
      </c>
      <c r="D359" s="21" t="s">
        <v>25</v>
      </c>
      <c r="E359" s="22">
        <v>45692</v>
      </c>
      <c r="F359" s="21">
        <v>2</v>
      </c>
      <c r="G359" s="22">
        <v>45816</v>
      </c>
      <c r="H359" s="23"/>
      <c r="I359" s="24"/>
      <c r="J359" s="25"/>
      <c r="K359" s="24"/>
      <c r="L359" s="21">
        <v>1</v>
      </c>
      <c r="M359" s="21">
        <v>0</v>
      </c>
      <c r="N359" s="21" t="s">
        <v>26</v>
      </c>
      <c r="O359" s="20" t="s">
        <v>27</v>
      </c>
      <c r="P359" s="20" t="s">
        <v>28</v>
      </c>
      <c r="Q359" s="26" t="s">
        <v>29</v>
      </c>
      <c r="R359" s="1"/>
      <c r="S359" s="1"/>
      <c r="T359" s="1"/>
      <c r="U359" s="1"/>
      <c r="V359" s="1"/>
      <c r="W359" s="1"/>
      <c r="X359" s="1"/>
      <c r="Y359" s="1"/>
      <c r="Z359" s="1"/>
      <c r="AA359" s="1"/>
      <c r="AB359" s="1"/>
      <c r="AC359" s="1"/>
      <c r="AD359" s="1"/>
      <c r="AE359" s="1"/>
    </row>
    <row r="360" spans="1:31" ht="25" x14ac:dyDescent="0.25">
      <c r="A360" s="1"/>
      <c r="B360" s="128"/>
      <c r="C360" s="20" t="s">
        <v>31</v>
      </c>
      <c r="D360" s="21" t="s">
        <v>25</v>
      </c>
      <c r="E360" s="21" t="s">
        <v>32</v>
      </c>
      <c r="F360" s="21">
        <v>1</v>
      </c>
      <c r="G360" s="22">
        <v>45879</v>
      </c>
      <c r="H360" s="23"/>
      <c r="I360" s="24"/>
      <c r="J360" s="25"/>
      <c r="K360" s="24"/>
      <c r="L360" s="21">
        <v>0</v>
      </c>
      <c r="M360" s="21" t="s">
        <v>25</v>
      </c>
      <c r="N360" s="21" t="s">
        <v>30</v>
      </c>
      <c r="O360" s="20" t="s">
        <v>33</v>
      </c>
      <c r="P360" s="20" t="s">
        <v>34</v>
      </c>
      <c r="Q360" s="26" t="s">
        <v>35</v>
      </c>
      <c r="R360" s="1"/>
      <c r="S360" s="1"/>
      <c r="T360" s="1"/>
      <c r="U360" s="1"/>
      <c r="V360" s="1"/>
      <c r="W360" s="1"/>
      <c r="X360" s="1"/>
      <c r="Y360" s="1"/>
      <c r="Z360" s="1"/>
      <c r="AA360" s="1"/>
      <c r="AB360" s="1"/>
      <c r="AC360" s="1"/>
      <c r="AD360" s="1"/>
      <c r="AE360" s="1"/>
    </row>
    <row r="361" spans="1:31" ht="25" x14ac:dyDescent="0.25">
      <c r="A361" s="1"/>
      <c r="B361" s="128"/>
      <c r="C361" s="20" t="s">
        <v>36</v>
      </c>
      <c r="D361" s="21" t="s">
        <v>133</v>
      </c>
      <c r="E361" s="22">
        <v>45659</v>
      </c>
      <c r="F361" s="21">
        <v>2</v>
      </c>
      <c r="G361" s="22">
        <v>45816</v>
      </c>
      <c r="H361" s="23"/>
      <c r="I361" s="24"/>
      <c r="J361" s="25"/>
      <c r="K361" s="24"/>
      <c r="L361" s="21">
        <v>1</v>
      </c>
      <c r="M361" s="21">
        <v>0</v>
      </c>
      <c r="N361" s="21" t="s">
        <v>37</v>
      </c>
      <c r="O361" s="20" t="s">
        <v>38</v>
      </c>
      <c r="P361" s="20" t="s">
        <v>39</v>
      </c>
      <c r="Q361" s="26" t="s">
        <v>40</v>
      </c>
      <c r="R361" s="1"/>
      <c r="S361" s="1"/>
      <c r="T361" s="1"/>
      <c r="U361" s="1"/>
      <c r="V361" s="1"/>
      <c r="W361" s="1"/>
      <c r="X361" s="1"/>
      <c r="Y361" s="1"/>
      <c r="Z361" s="1"/>
      <c r="AA361" s="1"/>
      <c r="AB361" s="1"/>
      <c r="AC361" s="1"/>
      <c r="AD361" s="1"/>
      <c r="AE361" s="1"/>
    </row>
    <row r="362" spans="1:31" ht="37.5" x14ac:dyDescent="0.25">
      <c r="A362" s="1"/>
      <c r="B362" s="129"/>
      <c r="C362" s="20" t="s">
        <v>52</v>
      </c>
      <c r="D362" s="21" t="s">
        <v>133</v>
      </c>
      <c r="E362" s="21" t="s">
        <v>32</v>
      </c>
      <c r="F362" s="21">
        <v>1</v>
      </c>
      <c r="G362" s="22">
        <v>45816</v>
      </c>
      <c r="H362" s="23"/>
      <c r="I362" s="24"/>
      <c r="J362" s="25"/>
      <c r="K362" s="24"/>
      <c r="L362" s="21">
        <v>0</v>
      </c>
      <c r="M362" s="21" t="s">
        <v>25</v>
      </c>
      <c r="N362" s="21" t="s">
        <v>30</v>
      </c>
      <c r="O362" s="20" t="s">
        <v>53</v>
      </c>
      <c r="P362" s="20" t="s">
        <v>54</v>
      </c>
      <c r="Q362" s="26" t="s">
        <v>55</v>
      </c>
      <c r="R362" s="1"/>
      <c r="S362" s="1"/>
      <c r="T362" s="1"/>
      <c r="U362" s="1"/>
      <c r="V362" s="1"/>
      <c r="W362" s="1"/>
      <c r="X362" s="1"/>
      <c r="Y362" s="1"/>
      <c r="Z362" s="1"/>
      <c r="AA362" s="1"/>
      <c r="AB362" s="1"/>
      <c r="AC362" s="1"/>
      <c r="AD362" s="1"/>
      <c r="AE362" s="1"/>
    </row>
    <row r="363" spans="1:31" ht="13" x14ac:dyDescent="0.25">
      <c r="A363" s="1"/>
      <c r="B363" s="155" t="s">
        <v>141</v>
      </c>
      <c r="C363" s="156"/>
      <c r="D363" s="156"/>
      <c r="E363" s="156"/>
      <c r="F363" s="156"/>
      <c r="G363" s="156"/>
      <c r="H363" s="156"/>
      <c r="I363" s="156"/>
      <c r="J363" s="156"/>
      <c r="K363" s="156"/>
      <c r="L363" s="156"/>
      <c r="M363" s="156"/>
      <c r="N363" s="156"/>
      <c r="O363" s="156"/>
      <c r="P363" s="156"/>
      <c r="Q363" s="157"/>
      <c r="R363" s="1"/>
      <c r="S363" s="1"/>
      <c r="T363" s="1"/>
      <c r="U363" s="1"/>
      <c r="V363" s="1"/>
      <c r="W363" s="1"/>
      <c r="X363" s="1"/>
      <c r="Y363" s="1"/>
      <c r="Z363" s="1"/>
      <c r="AA363" s="1"/>
      <c r="AB363" s="1"/>
      <c r="AC363" s="1"/>
      <c r="AD363" s="1"/>
      <c r="AE363" s="1"/>
    </row>
    <row r="364" spans="1:31" ht="25" x14ac:dyDescent="0.25">
      <c r="A364" s="1"/>
      <c r="B364" s="130" t="s">
        <v>142</v>
      </c>
      <c r="C364" s="52" t="s">
        <v>56</v>
      </c>
      <c r="D364" s="53" t="s">
        <v>133</v>
      </c>
      <c r="E364" s="54">
        <v>45691</v>
      </c>
      <c r="F364" s="55">
        <v>2</v>
      </c>
      <c r="G364" s="54">
        <v>45879</v>
      </c>
      <c r="H364" s="56"/>
      <c r="I364" s="57"/>
      <c r="J364" s="56"/>
      <c r="K364" s="57"/>
      <c r="L364" s="55">
        <v>1</v>
      </c>
      <c r="M364" s="55">
        <v>0</v>
      </c>
      <c r="N364" s="55" t="s">
        <v>37</v>
      </c>
      <c r="O364" s="52" t="s">
        <v>57</v>
      </c>
      <c r="P364" s="52" t="s">
        <v>39</v>
      </c>
      <c r="Q364" s="58" t="s">
        <v>58</v>
      </c>
      <c r="R364" s="1"/>
      <c r="S364" s="1"/>
      <c r="T364" s="1"/>
      <c r="U364" s="1"/>
      <c r="V364" s="1"/>
      <c r="W364" s="1"/>
      <c r="X364" s="1"/>
      <c r="Y364" s="1"/>
      <c r="Z364" s="1"/>
      <c r="AA364" s="1"/>
      <c r="AB364" s="1"/>
      <c r="AC364" s="1"/>
      <c r="AD364" s="1"/>
      <c r="AE364" s="1"/>
    </row>
    <row r="365" spans="1:31" ht="25" x14ac:dyDescent="0.25">
      <c r="A365" s="1"/>
      <c r="B365" s="128"/>
      <c r="C365" s="43" t="s">
        <v>59</v>
      </c>
      <c r="D365" s="44" t="s">
        <v>132</v>
      </c>
      <c r="E365" s="45">
        <v>45691</v>
      </c>
      <c r="F365" s="46">
        <v>2</v>
      </c>
      <c r="G365" s="45">
        <v>45879</v>
      </c>
      <c r="H365" s="47"/>
      <c r="I365" s="48"/>
      <c r="J365" s="47"/>
      <c r="K365" s="48"/>
      <c r="L365" s="46">
        <v>1</v>
      </c>
      <c r="M365" s="46">
        <v>0</v>
      </c>
      <c r="N365" s="46" t="s">
        <v>37</v>
      </c>
      <c r="O365" s="43" t="s">
        <v>60</v>
      </c>
      <c r="P365" s="43" t="s">
        <v>61</v>
      </c>
      <c r="Q365" s="49" t="s">
        <v>62</v>
      </c>
      <c r="R365" s="1"/>
      <c r="S365" s="1"/>
      <c r="T365" s="1"/>
      <c r="U365" s="1"/>
      <c r="V365" s="1"/>
      <c r="W365" s="1"/>
      <c r="X365" s="1"/>
      <c r="Y365" s="1"/>
      <c r="Z365" s="1"/>
      <c r="AA365" s="1"/>
      <c r="AB365" s="1"/>
      <c r="AC365" s="1"/>
      <c r="AD365" s="1"/>
      <c r="AE365" s="1"/>
    </row>
    <row r="366" spans="1:31" x14ac:dyDescent="0.25">
      <c r="A366" s="1"/>
      <c r="B366" s="128"/>
      <c r="C366" s="36" t="s">
        <v>63</v>
      </c>
      <c r="D366" s="37" t="s">
        <v>25</v>
      </c>
      <c r="E366" s="38">
        <v>45659</v>
      </c>
      <c r="F366" s="39">
        <v>1</v>
      </c>
      <c r="G366" s="38">
        <v>45816</v>
      </c>
      <c r="H366" s="40"/>
      <c r="I366" s="41"/>
      <c r="J366" s="40"/>
      <c r="K366" s="41"/>
      <c r="L366" s="39">
        <v>0</v>
      </c>
      <c r="M366" s="39" t="s">
        <v>25</v>
      </c>
      <c r="N366" s="39" t="s">
        <v>30</v>
      </c>
      <c r="O366" s="36" t="s">
        <v>64</v>
      </c>
      <c r="P366" s="36" t="s">
        <v>65</v>
      </c>
      <c r="Q366" s="42" t="s">
        <v>66</v>
      </c>
      <c r="R366" s="1"/>
      <c r="S366" s="1"/>
      <c r="T366" s="1"/>
      <c r="U366" s="1"/>
      <c r="V366" s="1"/>
      <c r="W366" s="1"/>
      <c r="X366" s="1"/>
      <c r="Y366" s="1"/>
      <c r="Z366" s="1"/>
      <c r="AA366" s="1"/>
      <c r="AB366" s="1"/>
      <c r="AC366" s="1"/>
      <c r="AD366" s="1"/>
      <c r="AE366" s="1"/>
    </row>
    <row r="367" spans="1:31" ht="25" x14ac:dyDescent="0.25">
      <c r="A367" s="1"/>
      <c r="B367" s="128"/>
      <c r="C367" s="43" t="s">
        <v>67</v>
      </c>
      <c r="D367" s="44" t="s">
        <v>135</v>
      </c>
      <c r="E367" s="45">
        <v>45692</v>
      </c>
      <c r="F367" s="46">
        <v>2</v>
      </c>
      <c r="G367" s="45">
        <v>45879</v>
      </c>
      <c r="H367" s="47"/>
      <c r="I367" s="48"/>
      <c r="J367" s="47"/>
      <c r="K367" s="48"/>
      <c r="L367" s="46">
        <v>1</v>
      </c>
      <c r="M367" s="46">
        <v>0</v>
      </c>
      <c r="N367" s="46" t="s">
        <v>26</v>
      </c>
      <c r="O367" s="43" t="s">
        <v>68</v>
      </c>
      <c r="P367" s="43" t="s">
        <v>69</v>
      </c>
      <c r="Q367" s="49" t="s">
        <v>70</v>
      </c>
      <c r="R367" s="1"/>
      <c r="S367" s="1"/>
      <c r="T367" s="1"/>
      <c r="U367" s="1"/>
      <c r="V367" s="1"/>
      <c r="W367" s="1"/>
      <c r="X367" s="1"/>
      <c r="Y367" s="1"/>
      <c r="Z367" s="1"/>
      <c r="AA367" s="1"/>
      <c r="AB367" s="1"/>
      <c r="AC367" s="1"/>
      <c r="AD367" s="1"/>
      <c r="AE367" s="1"/>
    </row>
    <row r="368" spans="1:31" ht="25" x14ac:dyDescent="0.25">
      <c r="A368" s="1"/>
      <c r="B368" s="128"/>
      <c r="C368" s="36" t="s">
        <v>71</v>
      </c>
      <c r="D368" s="37" t="s">
        <v>25</v>
      </c>
      <c r="E368" s="39" t="s">
        <v>32</v>
      </c>
      <c r="F368" s="39">
        <v>2</v>
      </c>
      <c r="G368" s="38">
        <v>45879</v>
      </c>
      <c r="H368" s="40"/>
      <c r="I368" s="41"/>
      <c r="J368" s="40"/>
      <c r="K368" s="41"/>
      <c r="L368" s="39">
        <v>0</v>
      </c>
      <c r="M368" s="39">
        <v>0</v>
      </c>
      <c r="N368" s="39" t="s">
        <v>30</v>
      </c>
      <c r="O368" s="36" t="s">
        <v>72</v>
      </c>
      <c r="P368" s="36" t="s">
        <v>34</v>
      </c>
      <c r="Q368" s="42" t="s">
        <v>73</v>
      </c>
      <c r="R368" s="1"/>
      <c r="S368" s="1"/>
      <c r="T368" s="1"/>
      <c r="U368" s="1"/>
      <c r="V368" s="1"/>
      <c r="W368" s="1"/>
      <c r="X368" s="1"/>
      <c r="Y368" s="1"/>
      <c r="Z368" s="1"/>
      <c r="AA368" s="1"/>
      <c r="AB368" s="1"/>
      <c r="AC368" s="1"/>
      <c r="AD368" s="1"/>
      <c r="AE368" s="1"/>
    </row>
    <row r="369" spans="1:31" ht="25" x14ac:dyDescent="0.25">
      <c r="A369" s="1"/>
      <c r="B369" s="128"/>
      <c r="C369" s="43" t="s">
        <v>74</v>
      </c>
      <c r="D369" s="44" t="s">
        <v>25</v>
      </c>
      <c r="E369" s="46" t="s">
        <v>32</v>
      </c>
      <c r="F369" s="46">
        <v>1</v>
      </c>
      <c r="G369" s="45">
        <v>45879</v>
      </c>
      <c r="H369" s="47"/>
      <c r="I369" s="48"/>
      <c r="J369" s="47"/>
      <c r="K369" s="48"/>
      <c r="L369" s="46">
        <v>0</v>
      </c>
      <c r="M369" s="46" t="s">
        <v>25</v>
      </c>
      <c r="N369" s="46" t="s">
        <v>30</v>
      </c>
      <c r="O369" s="43" t="s">
        <v>75</v>
      </c>
      <c r="P369" s="51" t="s">
        <v>76</v>
      </c>
      <c r="Q369" s="49" t="s">
        <v>77</v>
      </c>
      <c r="R369" s="1"/>
      <c r="S369" s="1"/>
      <c r="T369" s="1"/>
      <c r="U369" s="1"/>
      <c r="V369" s="1"/>
      <c r="W369" s="1"/>
      <c r="X369" s="1"/>
      <c r="Y369" s="1"/>
      <c r="Z369" s="1"/>
      <c r="AA369" s="1"/>
      <c r="AB369" s="1"/>
      <c r="AC369" s="1"/>
      <c r="AD369" s="1"/>
      <c r="AE369" s="1"/>
    </row>
    <row r="370" spans="1:31" ht="25" x14ac:dyDescent="0.25">
      <c r="A370" s="1"/>
      <c r="B370" s="128"/>
      <c r="C370" s="36" t="s">
        <v>78</v>
      </c>
      <c r="D370" s="37" t="s">
        <v>25</v>
      </c>
      <c r="E370" s="39" t="s">
        <v>32</v>
      </c>
      <c r="F370" s="39">
        <v>2</v>
      </c>
      <c r="G370" s="38">
        <v>45816</v>
      </c>
      <c r="H370" s="40"/>
      <c r="I370" s="41"/>
      <c r="J370" s="40"/>
      <c r="K370" s="41"/>
      <c r="L370" s="39">
        <v>0</v>
      </c>
      <c r="M370" s="39">
        <v>0</v>
      </c>
      <c r="N370" s="39" t="s">
        <v>30</v>
      </c>
      <c r="O370" s="50" t="s">
        <v>79</v>
      </c>
      <c r="P370" s="50" t="s">
        <v>80</v>
      </c>
      <c r="Q370" s="42" t="s">
        <v>81</v>
      </c>
      <c r="R370" s="1"/>
      <c r="S370" s="1"/>
      <c r="T370" s="1"/>
      <c r="U370" s="1"/>
      <c r="V370" s="1"/>
      <c r="W370" s="1"/>
      <c r="X370" s="1"/>
      <c r="Y370" s="1"/>
      <c r="Z370" s="1"/>
      <c r="AA370" s="1"/>
      <c r="AB370" s="1"/>
      <c r="AC370" s="1"/>
      <c r="AD370" s="1"/>
      <c r="AE370" s="1"/>
    </row>
    <row r="371" spans="1:31" ht="37.5" x14ac:dyDescent="0.25">
      <c r="A371" s="1"/>
      <c r="B371" s="130" t="s">
        <v>143</v>
      </c>
      <c r="C371" s="29" t="s">
        <v>48</v>
      </c>
      <c r="D371" s="30" t="s">
        <v>133</v>
      </c>
      <c r="E371" s="31">
        <v>45659</v>
      </c>
      <c r="F371" s="32">
        <v>2</v>
      </c>
      <c r="G371" s="31">
        <v>45879</v>
      </c>
      <c r="H371" s="33"/>
      <c r="I371" s="34"/>
      <c r="J371" s="33"/>
      <c r="K371" s="34"/>
      <c r="L371" s="32">
        <v>0</v>
      </c>
      <c r="M371" s="32">
        <v>0</v>
      </c>
      <c r="N371" s="32" t="s">
        <v>30</v>
      </c>
      <c r="O371" s="29" t="s">
        <v>49</v>
      </c>
      <c r="P371" s="29" t="s">
        <v>50</v>
      </c>
      <c r="Q371" s="35" t="s">
        <v>51</v>
      </c>
      <c r="R371" s="1"/>
      <c r="S371" s="1"/>
      <c r="T371" s="1"/>
      <c r="U371" s="1"/>
      <c r="V371" s="1"/>
      <c r="W371" s="1"/>
      <c r="X371" s="1"/>
      <c r="Y371" s="1"/>
      <c r="Z371" s="1"/>
      <c r="AA371" s="1"/>
      <c r="AB371" s="1"/>
      <c r="AC371" s="1"/>
      <c r="AD371" s="1"/>
      <c r="AE371" s="1"/>
    </row>
    <row r="372" spans="1:31" ht="37.5" x14ac:dyDescent="0.25">
      <c r="A372" s="1"/>
      <c r="B372" s="128"/>
      <c r="C372" s="36" t="s">
        <v>82</v>
      </c>
      <c r="D372" s="37" t="s">
        <v>25</v>
      </c>
      <c r="E372" s="38">
        <v>45691</v>
      </c>
      <c r="F372" s="39">
        <v>2</v>
      </c>
      <c r="G372" s="38">
        <v>45816</v>
      </c>
      <c r="H372" s="40"/>
      <c r="I372" s="41"/>
      <c r="J372" s="40"/>
      <c r="K372" s="41"/>
      <c r="L372" s="39">
        <v>2</v>
      </c>
      <c r="M372" s="39">
        <v>1</v>
      </c>
      <c r="N372" s="39" t="s">
        <v>37</v>
      </c>
      <c r="O372" s="36" t="s">
        <v>83</v>
      </c>
      <c r="P372" s="36" t="s">
        <v>84</v>
      </c>
      <c r="Q372" s="42" t="s">
        <v>85</v>
      </c>
      <c r="R372" s="1"/>
      <c r="S372" s="1"/>
      <c r="T372" s="1"/>
      <c r="U372" s="1"/>
      <c r="V372" s="1"/>
      <c r="W372" s="1"/>
      <c r="X372" s="1"/>
      <c r="Y372" s="1"/>
      <c r="Z372" s="1"/>
      <c r="AA372" s="1"/>
      <c r="AB372" s="1"/>
      <c r="AC372" s="1"/>
      <c r="AD372" s="1"/>
      <c r="AE372" s="1"/>
    </row>
    <row r="373" spans="1:31" x14ac:dyDescent="0.25">
      <c r="A373" s="1"/>
      <c r="B373" s="128"/>
      <c r="C373" s="43" t="s">
        <v>86</v>
      </c>
      <c r="D373" s="44" t="s">
        <v>25</v>
      </c>
      <c r="E373" s="45">
        <v>45692</v>
      </c>
      <c r="F373" s="46">
        <v>2</v>
      </c>
      <c r="G373" s="45">
        <v>45816</v>
      </c>
      <c r="H373" s="47"/>
      <c r="I373" s="48"/>
      <c r="J373" s="47"/>
      <c r="K373" s="48"/>
      <c r="L373" s="46">
        <v>1</v>
      </c>
      <c r="M373" s="46">
        <v>0</v>
      </c>
      <c r="N373" s="46" t="s">
        <v>37</v>
      </c>
      <c r="O373" s="43" t="s">
        <v>87</v>
      </c>
      <c r="P373" s="43" t="s">
        <v>88</v>
      </c>
      <c r="Q373" s="49" t="s">
        <v>89</v>
      </c>
      <c r="R373" s="1"/>
      <c r="S373" s="1"/>
      <c r="T373" s="1"/>
      <c r="U373" s="1"/>
      <c r="V373" s="1"/>
      <c r="W373" s="1"/>
      <c r="X373" s="1"/>
      <c r="Y373" s="1"/>
      <c r="Z373" s="1"/>
      <c r="AA373" s="1"/>
      <c r="AB373" s="1"/>
      <c r="AC373" s="1"/>
      <c r="AD373" s="1"/>
      <c r="AE373" s="1"/>
    </row>
    <row r="374" spans="1:31" ht="25" x14ac:dyDescent="0.25">
      <c r="A374" s="1"/>
      <c r="B374" s="128"/>
      <c r="C374" s="36" t="s">
        <v>90</v>
      </c>
      <c r="D374" s="37" t="s">
        <v>25</v>
      </c>
      <c r="E374" s="38">
        <v>45692</v>
      </c>
      <c r="F374" s="39">
        <v>1</v>
      </c>
      <c r="G374" s="38">
        <v>45816</v>
      </c>
      <c r="H374" s="40"/>
      <c r="I374" s="41"/>
      <c r="J374" s="40"/>
      <c r="K374" s="41"/>
      <c r="L374" s="39">
        <v>0</v>
      </c>
      <c r="M374" s="39" t="s">
        <v>25</v>
      </c>
      <c r="N374" s="39" t="s">
        <v>37</v>
      </c>
      <c r="O374" s="36" t="s">
        <v>91</v>
      </c>
      <c r="P374" s="36" t="s">
        <v>92</v>
      </c>
      <c r="Q374" s="42" t="s">
        <v>93</v>
      </c>
      <c r="R374" s="1"/>
      <c r="S374" s="1"/>
      <c r="T374" s="1"/>
      <c r="U374" s="1"/>
      <c r="V374" s="1"/>
      <c r="W374" s="1"/>
      <c r="X374" s="1"/>
      <c r="Y374" s="1"/>
      <c r="Z374" s="1"/>
      <c r="AA374" s="1"/>
      <c r="AB374" s="1"/>
      <c r="AC374" s="1"/>
      <c r="AD374" s="1"/>
      <c r="AE374" s="1"/>
    </row>
    <row r="375" spans="1:31" ht="37.5" x14ac:dyDescent="0.25">
      <c r="A375" s="1"/>
      <c r="B375" s="131"/>
      <c r="C375" s="64" t="s">
        <v>52</v>
      </c>
      <c r="D375" s="65" t="s">
        <v>133</v>
      </c>
      <c r="E375" s="66" t="s">
        <v>32</v>
      </c>
      <c r="F375" s="66">
        <v>2</v>
      </c>
      <c r="G375" s="69">
        <v>45879</v>
      </c>
      <c r="H375" s="67"/>
      <c r="I375" s="68"/>
      <c r="J375" s="67"/>
      <c r="K375" s="68"/>
      <c r="L375" s="66">
        <v>0</v>
      </c>
      <c r="M375" s="66">
        <v>0</v>
      </c>
      <c r="N375" s="66" t="s">
        <v>30</v>
      </c>
      <c r="O375" s="64" t="s">
        <v>53</v>
      </c>
      <c r="P375" s="64" t="s">
        <v>54</v>
      </c>
      <c r="Q375" s="70" t="s">
        <v>55</v>
      </c>
      <c r="R375" s="1"/>
      <c r="S375" s="1"/>
      <c r="T375" s="1"/>
      <c r="U375" s="1"/>
      <c r="V375" s="1"/>
      <c r="W375" s="1"/>
      <c r="X375" s="1"/>
      <c r="Y375" s="1"/>
      <c r="Z375" s="1"/>
      <c r="AA375" s="1"/>
      <c r="AB375" s="1"/>
      <c r="AC375" s="1"/>
      <c r="AD375" s="1"/>
      <c r="AE375" s="1"/>
    </row>
    <row r="376" spans="1:31" ht="37.5" x14ac:dyDescent="0.25">
      <c r="A376" s="1"/>
      <c r="B376" s="130" t="s">
        <v>94</v>
      </c>
      <c r="C376" s="36" t="s">
        <v>95</v>
      </c>
      <c r="D376" s="37" t="s">
        <v>25</v>
      </c>
      <c r="E376" s="39" t="s">
        <v>32</v>
      </c>
      <c r="F376" s="39">
        <v>2</v>
      </c>
      <c r="G376" s="38">
        <v>45816</v>
      </c>
      <c r="H376" s="40"/>
      <c r="I376" s="41"/>
      <c r="J376" s="40"/>
      <c r="K376" s="41"/>
      <c r="L376" s="39">
        <v>0</v>
      </c>
      <c r="M376" s="39">
        <v>0</v>
      </c>
      <c r="N376" s="39" t="s">
        <v>30</v>
      </c>
      <c r="O376" s="36" t="s">
        <v>96</v>
      </c>
      <c r="P376" s="36" t="s">
        <v>97</v>
      </c>
      <c r="Q376" s="42" t="s">
        <v>98</v>
      </c>
      <c r="R376" s="1"/>
      <c r="S376" s="1"/>
      <c r="T376" s="1"/>
      <c r="U376" s="1"/>
      <c r="V376" s="1"/>
      <c r="W376" s="1"/>
      <c r="X376" s="1"/>
      <c r="Y376" s="1"/>
      <c r="Z376" s="1"/>
      <c r="AA376" s="1"/>
      <c r="AB376" s="1"/>
      <c r="AC376" s="1"/>
      <c r="AD376" s="1"/>
      <c r="AE376" s="1"/>
    </row>
    <row r="377" spans="1:31" ht="25" x14ac:dyDescent="0.25">
      <c r="A377" s="1"/>
      <c r="B377" s="128"/>
      <c r="C377" s="43" t="s">
        <v>99</v>
      </c>
      <c r="D377" s="44" t="s">
        <v>25</v>
      </c>
      <c r="E377" s="46" t="s">
        <v>32</v>
      </c>
      <c r="F377" s="46">
        <v>2</v>
      </c>
      <c r="G377" s="45">
        <v>45879</v>
      </c>
      <c r="H377" s="47"/>
      <c r="I377" s="48"/>
      <c r="J377" s="47"/>
      <c r="K377" s="48"/>
      <c r="L377" s="46">
        <v>0</v>
      </c>
      <c r="M377" s="46">
        <v>0</v>
      </c>
      <c r="N377" s="46" t="s">
        <v>30</v>
      </c>
      <c r="O377" s="43" t="s">
        <v>100</v>
      </c>
      <c r="P377" s="43" t="s">
        <v>101</v>
      </c>
      <c r="Q377" s="49" t="s">
        <v>102</v>
      </c>
      <c r="R377" s="1"/>
      <c r="S377" s="1"/>
      <c r="T377" s="1"/>
      <c r="U377" s="1"/>
      <c r="V377" s="1"/>
      <c r="W377" s="1"/>
      <c r="X377" s="1"/>
      <c r="Y377" s="1"/>
      <c r="Z377" s="1"/>
      <c r="AA377" s="1"/>
      <c r="AB377" s="1"/>
      <c r="AC377" s="1"/>
      <c r="AD377" s="1"/>
      <c r="AE377" s="1"/>
    </row>
    <row r="378" spans="1:31" ht="25" x14ac:dyDescent="0.25">
      <c r="A378" s="1"/>
      <c r="B378" s="128"/>
      <c r="C378" s="36" t="s">
        <v>103</v>
      </c>
      <c r="D378" s="37" t="s">
        <v>25</v>
      </c>
      <c r="E378" s="39" t="s">
        <v>32</v>
      </c>
      <c r="F378" s="39">
        <v>1</v>
      </c>
      <c r="G378" s="38">
        <v>45879</v>
      </c>
      <c r="H378" s="40"/>
      <c r="I378" s="41"/>
      <c r="J378" s="40"/>
      <c r="K378" s="41"/>
      <c r="L378" s="39">
        <v>0</v>
      </c>
      <c r="M378" s="39" t="s">
        <v>25</v>
      </c>
      <c r="N378" s="39" t="s">
        <v>30</v>
      </c>
      <c r="O378" s="36" t="s">
        <v>104</v>
      </c>
      <c r="P378" s="36" t="s">
        <v>105</v>
      </c>
      <c r="Q378" s="42" t="s">
        <v>106</v>
      </c>
      <c r="R378" s="1"/>
      <c r="S378" s="1"/>
      <c r="T378" s="1"/>
      <c r="U378" s="1"/>
      <c r="V378" s="1"/>
      <c r="W378" s="1"/>
      <c r="X378" s="1"/>
      <c r="Y378" s="1"/>
      <c r="Z378" s="1"/>
      <c r="AA378" s="1"/>
      <c r="AB378" s="1"/>
      <c r="AC378" s="1"/>
      <c r="AD378" s="1"/>
      <c r="AE378" s="1"/>
    </row>
    <row r="379" spans="1:31" x14ac:dyDescent="0.25">
      <c r="A379" s="1"/>
      <c r="B379" s="128"/>
      <c r="C379" s="43" t="s">
        <v>107</v>
      </c>
      <c r="D379" s="44" t="s">
        <v>132</v>
      </c>
      <c r="E379" s="46" t="s">
        <v>32</v>
      </c>
      <c r="F379" s="46">
        <v>2</v>
      </c>
      <c r="G379" s="45">
        <v>45879</v>
      </c>
      <c r="H379" s="47"/>
      <c r="I379" s="48"/>
      <c r="J379" s="47"/>
      <c r="K379" s="48"/>
      <c r="L379" s="46">
        <v>0</v>
      </c>
      <c r="M379" s="46">
        <v>0</v>
      </c>
      <c r="N379" s="46" t="s">
        <v>30</v>
      </c>
      <c r="O379" s="43" t="s">
        <v>108</v>
      </c>
      <c r="P379" s="43" t="s">
        <v>109</v>
      </c>
      <c r="Q379" s="49" t="s">
        <v>110</v>
      </c>
      <c r="R379" s="1"/>
      <c r="S379" s="1"/>
      <c r="T379" s="1"/>
      <c r="U379" s="1"/>
      <c r="V379" s="1"/>
      <c r="W379" s="1"/>
      <c r="X379" s="1"/>
      <c r="Y379" s="1"/>
      <c r="Z379" s="1"/>
      <c r="AA379" s="1"/>
      <c r="AB379" s="1"/>
      <c r="AC379" s="1"/>
      <c r="AD379" s="1"/>
      <c r="AE379" s="1"/>
    </row>
    <row r="380" spans="1:31" x14ac:dyDescent="0.25">
      <c r="A380" s="1"/>
      <c r="B380" s="128"/>
      <c r="C380" s="36" t="s">
        <v>111</v>
      </c>
      <c r="D380" s="37" t="s">
        <v>25</v>
      </c>
      <c r="E380" s="39" t="s">
        <v>32</v>
      </c>
      <c r="F380" s="39">
        <v>2</v>
      </c>
      <c r="G380" s="38">
        <v>45879</v>
      </c>
      <c r="H380" s="40"/>
      <c r="I380" s="41"/>
      <c r="J380" s="40"/>
      <c r="K380" s="41"/>
      <c r="L380" s="39">
        <v>0</v>
      </c>
      <c r="M380" s="39">
        <v>0</v>
      </c>
      <c r="N380" s="39" t="s">
        <v>30</v>
      </c>
      <c r="O380" s="36" t="s">
        <v>112</v>
      </c>
      <c r="P380" s="37" t="s">
        <v>25</v>
      </c>
      <c r="Q380" s="42" t="s">
        <v>113</v>
      </c>
      <c r="R380" s="1"/>
      <c r="S380" s="1"/>
      <c r="T380" s="1"/>
      <c r="U380" s="1"/>
      <c r="V380" s="1"/>
      <c r="W380" s="1"/>
      <c r="X380" s="1"/>
      <c r="Y380" s="1"/>
      <c r="Z380" s="1"/>
      <c r="AA380" s="1"/>
      <c r="AB380" s="1"/>
      <c r="AC380" s="1"/>
      <c r="AD380" s="1"/>
      <c r="AE380" s="1"/>
    </row>
    <row r="381" spans="1:31" x14ac:dyDescent="0.25">
      <c r="A381" s="1"/>
      <c r="B381" s="128"/>
      <c r="C381" s="43" t="s">
        <v>114</v>
      </c>
      <c r="D381" s="44" t="s">
        <v>25</v>
      </c>
      <c r="E381" s="46" t="s">
        <v>32</v>
      </c>
      <c r="F381" s="46">
        <v>2</v>
      </c>
      <c r="G381" s="45">
        <v>45879</v>
      </c>
      <c r="H381" s="47"/>
      <c r="I381" s="48"/>
      <c r="J381" s="47"/>
      <c r="K381" s="48"/>
      <c r="L381" s="46">
        <v>0</v>
      </c>
      <c r="M381" s="46">
        <v>0</v>
      </c>
      <c r="N381" s="46" t="s">
        <v>30</v>
      </c>
      <c r="O381" s="43" t="s">
        <v>115</v>
      </c>
      <c r="P381" s="44" t="s">
        <v>25</v>
      </c>
      <c r="Q381" s="49" t="s">
        <v>113</v>
      </c>
      <c r="R381" s="1"/>
      <c r="S381" s="1"/>
      <c r="T381" s="1"/>
      <c r="U381" s="1"/>
      <c r="V381" s="1"/>
      <c r="W381" s="1"/>
      <c r="X381" s="1"/>
      <c r="Y381" s="1"/>
      <c r="Z381" s="1"/>
      <c r="AA381" s="1"/>
      <c r="AB381" s="1"/>
      <c r="AC381" s="1"/>
      <c r="AD381" s="1"/>
      <c r="AE381" s="1"/>
    </row>
    <row r="382" spans="1:31" x14ac:dyDescent="0.25">
      <c r="A382" s="1"/>
      <c r="B382" s="128"/>
      <c r="C382" s="36" t="s">
        <v>116</v>
      </c>
      <c r="D382" s="37" t="s">
        <v>132</v>
      </c>
      <c r="E382" s="39" t="s">
        <v>32</v>
      </c>
      <c r="F382" s="39">
        <v>1</v>
      </c>
      <c r="G382" s="38">
        <v>45816</v>
      </c>
      <c r="H382" s="40"/>
      <c r="I382" s="41"/>
      <c r="J382" s="40"/>
      <c r="K382" s="41"/>
      <c r="L382" s="39">
        <v>0</v>
      </c>
      <c r="M382" s="39" t="s">
        <v>25</v>
      </c>
      <c r="N382" s="39" t="s">
        <v>30</v>
      </c>
      <c r="O382" s="36" t="s">
        <v>117</v>
      </c>
      <c r="P382" s="36" t="s">
        <v>118</v>
      </c>
      <c r="Q382" s="42" t="s">
        <v>119</v>
      </c>
      <c r="R382" s="1"/>
      <c r="S382" s="1"/>
      <c r="T382" s="1"/>
      <c r="U382" s="1"/>
      <c r="V382" s="1"/>
      <c r="W382" s="1"/>
      <c r="X382" s="1"/>
      <c r="Y382" s="1"/>
      <c r="Z382" s="1"/>
      <c r="AA382" s="1"/>
      <c r="AB382" s="1"/>
      <c r="AC382" s="1"/>
      <c r="AD382" s="1"/>
      <c r="AE382" s="1"/>
    </row>
    <row r="383" spans="1:31" ht="25" x14ac:dyDescent="0.25">
      <c r="A383" s="1"/>
      <c r="B383" s="128"/>
      <c r="C383" s="43" t="s">
        <v>34</v>
      </c>
      <c r="D383" s="44" t="s">
        <v>134</v>
      </c>
      <c r="E383" s="46" t="s">
        <v>32</v>
      </c>
      <c r="F383" s="46">
        <v>2</v>
      </c>
      <c r="G383" s="45">
        <v>45879</v>
      </c>
      <c r="H383" s="47"/>
      <c r="I383" s="46"/>
      <c r="J383" s="47"/>
      <c r="K383" s="48"/>
      <c r="L383" s="46">
        <v>0</v>
      </c>
      <c r="M383" s="46">
        <v>0</v>
      </c>
      <c r="N383" s="46" t="s">
        <v>30</v>
      </c>
      <c r="O383" s="43" t="s">
        <v>71</v>
      </c>
      <c r="P383" s="43" t="s">
        <v>72</v>
      </c>
      <c r="Q383" s="49" t="s">
        <v>120</v>
      </c>
      <c r="R383" s="1"/>
      <c r="S383" s="1"/>
      <c r="T383" s="1"/>
      <c r="U383" s="1"/>
      <c r="V383" s="1"/>
      <c r="W383" s="1"/>
      <c r="X383" s="1"/>
      <c r="Y383" s="1"/>
      <c r="Z383" s="1"/>
      <c r="AA383" s="1"/>
      <c r="AB383" s="1"/>
      <c r="AC383" s="1"/>
      <c r="AD383" s="1"/>
      <c r="AE383" s="1"/>
    </row>
    <row r="384" spans="1:31" x14ac:dyDescent="0.25">
      <c r="A384" s="1"/>
      <c r="B384" s="131"/>
      <c r="C384" s="59" t="s">
        <v>121</v>
      </c>
      <c r="D384" s="60" t="s">
        <v>25</v>
      </c>
      <c r="E384" s="61" t="s">
        <v>32</v>
      </c>
      <c r="F384" s="61">
        <v>2</v>
      </c>
      <c r="G384" s="61" t="s">
        <v>25</v>
      </c>
      <c r="H384" s="62"/>
      <c r="I384" s="61"/>
      <c r="J384" s="62"/>
      <c r="K384" s="63"/>
      <c r="L384" s="61">
        <v>0</v>
      </c>
      <c r="M384" s="61">
        <v>0</v>
      </c>
      <c r="N384" s="61" t="s">
        <v>30</v>
      </c>
      <c r="O384" s="60" t="s">
        <v>25</v>
      </c>
      <c r="P384" s="60" t="s">
        <v>25</v>
      </c>
      <c r="Q384" s="71" t="s">
        <v>122</v>
      </c>
      <c r="R384" s="1"/>
      <c r="S384" s="1"/>
      <c r="T384" s="1"/>
      <c r="U384" s="1"/>
      <c r="V384" s="1"/>
      <c r="W384" s="1"/>
      <c r="X384" s="1"/>
      <c r="Y384" s="1"/>
      <c r="Z384" s="1"/>
      <c r="AA384" s="1"/>
      <c r="AB384" s="1"/>
      <c r="AC384" s="1"/>
      <c r="AD384" s="1"/>
      <c r="AE384" s="1"/>
    </row>
    <row r="385" spans="1:31" ht="13" x14ac:dyDescent="0.25">
      <c r="A385" s="1"/>
      <c r="B385" s="155" t="s">
        <v>141</v>
      </c>
      <c r="C385" s="156"/>
      <c r="D385" s="156"/>
      <c r="E385" s="156"/>
      <c r="F385" s="156"/>
      <c r="G385" s="156"/>
      <c r="H385" s="156"/>
      <c r="I385" s="156"/>
      <c r="J385" s="156"/>
      <c r="K385" s="156"/>
      <c r="L385" s="156"/>
      <c r="M385" s="156"/>
      <c r="N385" s="156"/>
      <c r="O385" s="156"/>
      <c r="P385" s="156"/>
      <c r="Q385" s="157"/>
      <c r="R385" s="1"/>
      <c r="S385" s="1"/>
      <c r="T385" s="1"/>
      <c r="U385" s="1"/>
      <c r="V385" s="1"/>
      <c r="W385" s="1"/>
      <c r="X385" s="1"/>
      <c r="Y385" s="1"/>
      <c r="Z385" s="1"/>
      <c r="AA385" s="1"/>
      <c r="AB385" s="1"/>
      <c r="AC385" s="1"/>
      <c r="AD385" s="1"/>
      <c r="AE385" s="1"/>
    </row>
    <row r="386" spans="1:31" x14ac:dyDescent="0.25">
      <c r="A386" s="1"/>
      <c r="B386" s="1"/>
      <c r="C386" s="5"/>
      <c r="D386" s="5"/>
      <c r="E386" s="1"/>
      <c r="F386" s="1"/>
      <c r="G386" s="1"/>
      <c r="H386" s="1"/>
      <c r="I386" s="1"/>
      <c r="J386" s="1"/>
      <c r="K386" s="1"/>
      <c r="L386" s="1"/>
      <c r="M386" s="1"/>
      <c r="N386" s="1"/>
      <c r="O386" s="5"/>
      <c r="P386" s="5"/>
      <c r="Q386" s="5"/>
      <c r="R386" s="1"/>
      <c r="S386" s="1"/>
      <c r="T386" s="1"/>
      <c r="U386" s="1"/>
      <c r="V386" s="1"/>
      <c r="W386" s="1"/>
      <c r="X386" s="1"/>
      <c r="Y386" s="1"/>
      <c r="Z386" s="1"/>
      <c r="AA386" s="1"/>
      <c r="AB386" s="1"/>
      <c r="AC386" s="1"/>
      <c r="AD386" s="1"/>
      <c r="AE386" s="1"/>
    </row>
    <row r="387" spans="1:31" x14ac:dyDescent="0.25">
      <c r="A387" s="1"/>
      <c r="B387" s="1"/>
      <c r="C387" s="5"/>
      <c r="D387" s="5"/>
      <c r="E387" s="1"/>
      <c r="F387" s="1"/>
      <c r="G387" s="1"/>
      <c r="H387" s="1"/>
      <c r="I387" s="1"/>
      <c r="J387" s="1"/>
      <c r="K387" s="1"/>
      <c r="L387" s="1"/>
      <c r="M387" s="1"/>
      <c r="N387" s="1"/>
      <c r="O387" s="5"/>
      <c r="P387" s="5"/>
      <c r="Q387" s="5"/>
      <c r="R387" s="1"/>
      <c r="S387" s="1"/>
      <c r="T387" s="1"/>
      <c r="U387" s="1"/>
      <c r="V387" s="1"/>
      <c r="W387" s="1"/>
      <c r="X387" s="1"/>
      <c r="Y387" s="1"/>
      <c r="Z387" s="1"/>
      <c r="AA387" s="1"/>
      <c r="AB387" s="1"/>
      <c r="AC387" s="1"/>
      <c r="AD387" s="1"/>
      <c r="AE387" s="1"/>
    </row>
    <row r="388" spans="1:31" x14ac:dyDescent="0.25">
      <c r="A388" s="1"/>
      <c r="B388" s="132" t="s">
        <v>139</v>
      </c>
      <c r="C388" s="135" t="s">
        <v>7</v>
      </c>
      <c r="D388" s="135" t="s">
        <v>8</v>
      </c>
      <c r="E388" s="135" t="s">
        <v>9</v>
      </c>
      <c r="F388" s="139" t="s">
        <v>10</v>
      </c>
      <c r="G388" s="142" t="s">
        <v>11</v>
      </c>
      <c r="H388" s="143" t="s">
        <v>12</v>
      </c>
      <c r="I388" s="144"/>
      <c r="J388" s="144"/>
      <c r="K388" s="145"/>
      <c r="L388" s="146" t="s">
        <v>13</v>
      </c>
      <c r="M388" s="147"/>
      <c r="N388" s="150" t="s">
        <v>14</v>
      </c>
      <c r="O388" s="138" t="s">
        <v>15</v>
      </c>
      <c r="P388" s="138" t="s">
        <v>16</v>
      </c>
      <c r="Q388" s="135" t="s">
        <v>17</v>
      </c>
      <c r="R388" s="1"/>
      <c r="S388" s="1"/>
      <c r="T388" s="1"/>
      <c r="U388" s="1"/>
      <c r="V388" s="1"/>
      <c r="W388" s="1"/>
      <c r="X388" s="1"/>
      <c r="Y388" s="1"/>
      <c r="Z388" s="1"/>
      <c r="AA388" s="1"/>
      <c r="AB388" s="1"/>
      <c r="AC388" s="1"/>
      <c r="AD388" s="1"/>
      <c r="AE388" s="1"/>
    </row>
    <row r="389" spans="1:31" x14ac:dyDescent="0.25">
      <c r="A389" s="1"/>
      <c r="B389" s="133"/>
      <c r="C389" s="136"/>
      <c r="D389" s="136"/>
      <c r="E389" s="136"/>
      <c r="F389" s="140"/>
      <c r="G389" s="128"/>
      <c r="H389" s="152" t="s">
        <v>18</v>
      </c>
      <c r="I389" s="153"/>
      <c r="J389" s="154" t="s">
        <v>19</v>
      </c>
      <c r="K389" s="153"/>
      <c r="L389" s="148"/>
      <c r="M389" s="149"/>
      <c r="N389" s="149"/>
      <c r="O389" s="136"/>
      <c r="P389" s="136"/>
      <c r="Q389" s="136"/>
      <c r="R389" s="1"/>
      <c r="S389" s="1"/>
      <c r="T389" s="1"/>
      <c r="U389" s="1"/>
      <c r="V389" s="1"/>
      <c r="W389" s="1"/>
      <c r="X389" s="1"/>
      <c r="Y389" s="1"/>
      <c r="Z389" s="1"/>
      <c r="AA389" s="1"/>
      <c r="AB389" s="1"/>
      <c r="AC389" s="1"/>
      <c r="AD389" s="1"/>
      <c r="AE389" s="1"/>
    </row>
    <row r="390" spans="1:31" ht="13" x14ac:dyDescent="0.25">
      <c r="A390" s="1"/>
      <c r="B390" s="134"/>
      <c r="C390" s="137"/>
      <c r="D390" s="137"/>
      <c r="E390" s="137"/>
      <c r="F390" s="141"/>
      <c r="G390" s="128"/>
      <c r="H390" s="9" t="s">
        <v>20</v>
      </c>
      <c r="I390" s="10" t="s">
        <v>21</v>
      </c>
      <c r="J390" s="11" t="s">
        <v>20</v>
      </c>
      <c r="K390" s="10" t="s">
        <v>21</v>
      </c>
      <c r="L390" s="12" t="s">
        <v>22</v>
      </c>
      <c r="M390" s="12" t="s">
        <v>23</v>
      </c>
      <c r="N390" s="151"/>
      <c r="O390" s="137"/>
      <c r="P390" s="137"/>
      <c r="Q390" s="137"/>
      <c r="R390" s="1"/>
      <c r="S390" s="1"/>
      <c r="T390" s="1"/>
      <c r="U390" s="1"/>
      <c r="V390" s="1"/>
      <c r="W390" s="1"/>
      <c r="X390" s="1"/>
      <c r="Y390" s="1"/>
      <c r="Z390" s="1"/>
      <c r="AA390" s="1"/>
      <c r="AB390" s="1"/>
      <c r="AC390" s="1"/>
      <c r="AD390" s="1"/>
      <c r="AE390" s="1"/>
    </row>
    <row r="391" spans="1:31" ht="25" x14ac:dyDescent="0.25">
      <c r="A391" s="1"/>
      <c r="B391" s="127" t="s">
        <v>140</v>
      </c>
      <c r="C391" s="13" t="s">
        <v>41</v>
      </c>
      <c r="D391" s="14" t="s">
        <v>133</v>
      </c>
      <c r="E391" s="15">
        <v>45659</v>
      </c>
      <c r="F391" s="14">
        <v>2</v>
      </c>
      <c r="G391" s="15">
        <v>45816</v>
      </c>
      <c r="H391" s="16"/>
      <c r="I391" s="17"/>
      <c r="J391" s="18"/>
      <c r="K391" s="17"/>
      <c r="L391" s="14">
        <v>0</v>
      </c>
      <c r="M391" s="14">
        <v>0</v>
      </c>
      <c r="N391" s="14" t="s">
        <v>30</v>
      </c>
      <c r="O391" s="13" t="s">
        <v>42</v>
      </c>
      <c r="P391" s="13" t="s">
        <v>43</v>
      </c>
      <c r="Q391" s="19" t="s">
        <v>44</v>
      </c>
      <c r="R391" s="1"/>
      <c r="S391" s="1"/>
      <c r="T391" s="1"/>
      <c r="U391" s="1"/>
      <c r="V391" s="1"/>
      <c r="W391" s="1"/>
      <c r="X391" s="1"/>
      <c r="Y391" s="1"/>
      <c r="Z391" s="1"/>
      <c r="AA391" s="1"/>
      <c r="AB391" s="1"/>
      <c r="AC391" s="1"/>
      <c r="AD391" s="1"/>
      <c r="AE391" s="1"/>
    </row>
    <row r="392" spans="1:31" ht="25" x14ac:dyDescent="0.25">
      <c r="A392" s="1"/>
      <c r="B392" s="128"/>
      <c r="C392" s="90" t="s">
        <v>45</v>
      </c>
      <c r="D392" s="21" t="s">
        <v>25</v>
      </c>
      <c r="E392" s="22">
        <v>45692</v>
      </c>
      <c r="F392" s="21">
        <v>2</v>
      </c>
      <c r="G392" s="22">
        <v>45816</v>
      </c>
      <c r="H392" s="23"/>
      <c r="I392" s="24"/>
      <c r="J392" s="25"/>
      <c r="K392" s="24"/>
      <c r="L392" s="21">
        <v>1</v>
      </c>
      <c r="M392" s="21">
        <v>0</v>
      </c>
      <c r="N392" s="21" t="s">
        <v>26</v>
      </c>
      <c r="O392" s="21" t="s">
        <v>46</v>
      </c>
      <c r="P392" s="21" t="s">
        <v>46</v>
      </c>
      <c r="Q392" s="26" t="s">
        <v>47</v>
      </c>
      <c r="R392" s="1"/>
      <c r="S392" s="1"/>
      <c r="T392" s="1"/>
      <c r="U392" s="1"/>
      <c r="V392" s="1"/>
      <c r="W392" s="1"/>
      <c r="X392" s="1"/>
      <c r="Y392" s="1"/>
      <c r="Z392" s="1"/>
      <c r="AA392" s="1"/>
      <c r="AB392" s="1"/>
      <c r="AC392" s="1"/>
      <c r="AD392" s="1"/>
      <c r="AE392" s="1"/>
    </row>
    <row r="393" spans="1:31" ht="25" x14ac:dyDescent="0.25">
      <c r="A393" s="1"/>
      <c r="B393" s="128"/>
      <c r="C393" s="20" t="s">
        <v>24</v>
      </c>
      <c r="D393" s="21" t="s">
        <v>25</v>
      </c>
      <c r="E393" s="22">
        <v>45692</v>
      </c>
      <c r="F393" s="21">
        <v>2</v>
      </c>
      <c r="G393" s="22">
        <v>45816</v>
      </c>
      <c r="H393" s="23"/>
      <c r="I393" s="24"/>
      <c r="J393" s="25"/>
      <c r="K393" s="24"/>
      <c r="L393" s="21">
        <v>1</v>
      </c>
      <c r="M393" s="21">
        <v>0</v>
      </c>
      <c r="N393" s="21" t="s">
        <v>26</v>
      </c>
      <c r="O393" s="20" t="s">
        <v>27</v>
      </c>
      <c r="P393" s="20" t="s">
        <v>28</v>
      </c>
      <c r="Q393" s="26" t="s">
        <v>29</v>
      </c>
      <c r="R393" s="1"/>
      <c r="S393" s="1"/>
      <c r="T393" s="1"/>
      <c r="U393" s="1"/>
      <c r="V393" s="1"/>
      <c r="W393" s="1"/>
      <c r="X393" s="1"/>
      <c r="Y393" s="1"/>
      <c r="Z393" s="1"/>
      <c r="AA393" s="1"/>
      <c r="AB393" s="1"/>
      <c r="AC393" s="1"/>
      <c r="AD393" s="1"/>
      <c r="AE393" s="1"/>
    </row>
    <row r="394" spans="1:31" ht="25" x14ac:dyDescent="0.25">
      <c r="A394" s="1"/>
      <c r="B394" s="128"/>
      <c r="C394" s="20" t="s">
        <v>31</v>
      </c>
      <c r="D394" s="21" t="s">
        <v>25</v>
      </c>
      <c r="E394" s="21" t="s">
        <v>32</v>
      </c>
      <c r="F394" s="21">
        <v>1</v>
      </c>
      <c r="G394" s="22">
        <v>45879</v>
      </c>
      <c r="H394" s="23"/>
      <c r="I394" s="24"/>
      <c r="J394" s="25"/>
      <c r="K394" s="24"/>
      <c r="L394" s="21">
        <v>0</v>
      </c>
      <c r="M394" s="21" t="s">
        <v>25</v>
      </c>
      <c r="N394" s="21" t="s">
        <v>30</v>
      </c>
      <c r="O394" s="20" t="s">
        <v>33</v>
      </c>
      <c r="P394" s="20" t="s">
        <v>34</v>
      </c>
      <c r="Q394" s="26" t="s">
        <v>35</v>
      </c>
      <c r="R394" s="1"/>
      <c r="S394" s="1"/>
      <c r="T394" s="1"/>
      <c r="U394" s="1"/>
      <c r="V394" s="1"/>
      <c r="W394" s="1"/>
      <c r="X394" s="1"/>
      <c r="Y394" s="1"/>
      <c r="Z394" s="1"/>
      <c r="AA394" s="1"/>
      <c r="AB394" s="1"/>
      <c r="AC394" s="1"/>
      <c r="AD394" s="1"/>
      <c r="AE394" s="1"/>
    </row>
    <row r="395" spans="1:31" ht="25" x14ac:dyDescent="0.25">
      <c r="A395" s="1"/>
      <c r="B395" s="128"/>
      <c r="C395" s="20" t="s">
        <v>36</v>
      </c>
      <c r="D395" s="21" t="s">
        <v>133</v>
      </c>
      <c r="E395" s="22">
        <v>45659</v>
      </c>
      <c r="F395" s="21">
        <v>2</v>
      </c>
      <c r="G395" s="22">
        <v>45816</v>
      </c>
      <c r="H395" s="23"/>
      <c r="I395" s="24"/>
      <c r="J395" s="25"/>
      <c r="K395" s="24"/>
      <c r="L395" s="21">
        <v>1</v>
      </c>
      <c r="M395" s="21">
        <v>0</v>
      </c>
      <c r="N395" s="21" t="s">
        <v>37</v>
      </c>
      <c r="O395" s="20" t="s">
        <v>38</v>
      </c>
      <c r="P395" s="20" t="s">
        <v>39</v>
      </c>
      <c r="Q395" s="26" t="s">
        <v>40</v>
      </c>
      <c r="R395" s="1"/>
      <c r="S395" s="1"/>
      <c r="T395" s="1"/>
      <c r="U395" s="1"/>
      <c r="V395" s="1"/>
      <c r="W395" s="1"/>
      <c r="X395" s="1"/>
      <c r="Y395" s="1"/>
      <c r="Z395" s="1"/>
      <c r="AA395" s="1"/>
      <c r="AB395" s="1"/>
      <c r="AC395" s="1"/>
      <c r="AD395" s="1"/>
      <c r="AE395" s="1"/>
    </row>
    <row r="396" spans="1:31" ht="37.5" x14ac:dyDescent="0.25">
      <c r="A396" s="1"/>
      <c r="B396" s="129"/>
      <c r="C396" s="20" t="s">
        <v>52</v>
      </c>
      <c r="D396" s="21" t="s">
        <v>133</v>
      </c>
      <c r="E396" s="21" t="s">
        <v>32</v>
      </c>
      <c r="F396" s="21">
        <v>1</v>
      </c>
      <c r="G396" s="22">
        <v>45816</v>
      </c>
      <c r="H396" s="23"/>
      <c r="I396" s="24"/>
      <c r="J396" s="25"/>
      <c r="K396" s="24"/>
      <c r="L396" s="21">
        <v>0</v>
      </c>
      <c r="M396" s="21" t="s">
        <v>25</v>
      </c>
      <c r="N396" s="21" t="s">
        <v>30</v>
      </c>
      <c r="O396" s="20" t="s">
        <v>53</v>
      </c>
      <c r="P396" s="20" t="s">
        <v>54</v>
      </c>
      <c r="Q396" s="26" t="s">
        <v>55</v>
      </c>
      <c r="R396" s="1"/>
      <c r="S396" s="1"/>
      <c r="T396" s="1"/>
      <c r="U396" s="1"/>
      <c r="V396" s="1"/>
      <c r="W396" s="1"/>
      <c r="X396" s="1"/>
      <c r="Y396" s="1"/>
      <c r="Z396" s="1"/>
      <c r="AA396" s="1"/>
      <c r="AB396" s="1"/>
      <c r="AC396" s="1"/>
      <c r="AD396" s="1"/>
      <c r="AE396" s="1"/>
    </row>
    <row r="397" spans="1:31" ht="13" x14ac:dyDescent="0.25">
      <c r="A397" s="1"/>
      <c r="B397" s="155" t="s">
        <v>141</v>
      </c>
      <c r="C397" s="156"/>
      <c r="D397" s="156"/>
      <c r="E397" s="156"/>
      <c r="F397" s="156"/>
      <c r="G397" s="156"/>
      <c r="H397" s="156"/>
      <c r="I397" s="156"/>
      <c r="J397" s="156"/>
      <c r="K397" s="156"/>
      <c r="L397" s="156"/>
      <c r="M397" s="156"/>
      <c r="N397" s="156"/>
      <c r="O397" s="156"/>
      <c r="P397" s="156"/>
      <c r="Q397" s="157"/>
      <c r="R397" s="1"/>
      <c r="S397" s="1"/>
      <c r="T397" s="1"/>
      <c r="U397" s="1"/>
      <c r="V397" s="1"/>
      <c r="W397" s="1"/>
      <c r="X397" s="1"/>
      <c r="Y397" s="1"/>
      <c r="Z397" s="1"/>
      <c r="AA397" s="1"/>
      <c r="AB397" s="1"/>
      <c r="AC397" s="1"/>
      <c r="AD397" s="1"/>
      <c r="AE397" s="1"/>
    </row>
    <row r="398" spans="1:31" ht="25" x14ac:dyDescent="0.25">
      <c r="A398" s="1"/>
      <c r="B398" s="130" t="s">
        <v>142</v>
      </c>
      <c r="C398" s="52" t="s">
        <v>56</v>
      </c>
      <c r="D398" s="53" t="s">
        <v>133</v>
      </c>
      <c r="E398" s="54">
        <v>45691</v>
      </c>
      <c r="F398" s="55">
        <v>2</v>
      </c>
      <c r="G398" s="54">
        <v>45879</v>
      </c>
      <c r="H398" s="56"/>
      <c r="I398" s="57"/>
      <c r="J398" s="56"/>
      <c r="K398" s="57"/>
      <c r="L398" s="55">
        <v>1</v>
      </c>
      <c r="M398" s="55">
        <v>0</v>
      </c>
      <c r="N398" s="55" t="s">
        <v>37</v>
      </c>
      <c r="O398" s="52" t="s">
        <v>57</v>
      </c>
      <c r="P398" s="52" t="s">
        <v>39</v>
      </c>
      <c r="Q398" s="58" t="s">
        <v>58</v>
      </c>
      <c r="R398" s="1"/>
      <c r="S398" s="1"/>
      <c r="T398" s="1"/>
      <c r="U398" s="1"/>
      <c r="V398" s="1"/>
      <c r="W398" s="1"/>
      <c r="X398" s="1"/>
      <c r="Y398" s="1"/>
      <c r="Z398" s="1"/>
      <c r="AA398" s="1"/>
      <c r="AB398" s="1"/>
      <c r="AC398" s="1"/>
      <c r="AD398" s="1"/>
      <c r="AE398" s="1"/>
    </row>
    <row r="399" spans="1:31" ht="25" x14ac:dyDescent="0.25">
      <c r="A399" s="1"/>
      <c r="B399" s="128"/>
      <c r="C399" s="43" t="s">
        <v>59</v>
      </c>
      <c r="D399" s="44" t="s">
        <v>132</v>
      </c>
      <c r="E399" s="45">
        <v>45691</v>
      </c>
      <c r="F399" s="46">
        <v>2</v>
      </c>
      <c r="G399" s="45">
        <v>45879</v>
      </c>
      <c r="H399" s="47"/>
      <c r="I399" s="48"/>
      <c r="J399" s="47"/>
      <c r="K399" s="48"/>
      <c r="L399" s="46">
        <v>1</v>
      </c>
      <c r="M399" s="46">
        <v>0</v>
      </c>
      <c r="N399" s="46" t="s">
        <v>37</v>
      </c>
      <c r="O399" s="43" t="s">
        <v>60</v>
      </c>
      <c r="P399" s="43" t="s">
        <v>61</v>
      </c>
      <c r="Q399" s="49" t="s">
        <v>62</v>
      </c>
      <c r="R399" s="1"/>
      <c r="S399" s="1"/>
      <c r="T399" s="1"/>
      <c r="U399" s="1"/>
      <c r="V399" s="1"/>
      <c r="W399" s="1"/>
      <c r="X399" s="1"/>
      <c r="Y399" s="1"/>
      <c r="Z399" s="1"/>
      <c r="AA399" s="1"/>
      <c r="AB399" s="1"/>
      <c r="AC399" s="1"/>
      <c r="AD399" s="1"/>
      <c r="AE399" s="1"/>
    </row>
    <row r="400" spans="1:31" x14ac:dyDescent="0.25">
      <c r="A400" s="1"/>
      <c r="B400" s="128"/>
      <c r="C400" s="36" t="s">
        <v>63</v>
      </c>
      <c r="D400" s="37" t="s">
        <v>25</v>
      </c>
      <c r="E400" s="38">
        <v>45659</v>
      </c>
      <c r="F400" s="39">
        <v>1</v>
      </c>
      <c r="G400" s="38">
        <v>45816</v>
      </c>
      <c r="H400" s="40"/>
      <c r="I400" s="41"/>
      <c r="J400" s="40"/>
      <c r="K400" s="41"/>
      <c r="L400" s="39">
        <v>0</v>
      </c>
      <c r="M400" s="39" t="s">
        <v>25</v>
      </c>
      <c r="N400" s="39" t="s">
        <v>30</v>
      </c>
      <c r="O400" s="36" t="s">
        <v>64</v>
      </c>
      <c r="P400" s="36" t="s">
        <v>65</v>
      </c>
      <c r="Q400" s="42" t="s">
        <v>66</v>
      </c>
      <c r="R400" s="1"/>
      <c r="S400" s="1"/>
      <c r="T400" s="1"/>
      <c r="U400" s="1"/>
      <c r="V400" s="1"/>
      <c r="W400" s="1"/>
      <c r="X400" s="1"/>
      <c r="Y400" s="1"/>
      <c r="Z400" s="1"/>
      <c r="AA400" s="1"/>
      <c r="AB400" s="1"/>
      <c r="AC400" s="1"/>
      <c r="AD400" s="1"/>
      <c r="AE400" s="1"/>
    </row>
    <row r="401" spans="1:31" ht="25" x14ac:dyDescent="0.25">
      <c r="A401" s="1"/>
      <c r="B401" s="128"/>
      <c r="C401" s="43" t="s">
        <v>67</v>
      </c>
      <c r="D401" s="44" t="s">
        <v>135</v>
      </c>
      <c r="E401" s="45">
        <v>45692</v>
      </c>
      <c r="F401" s="46">
        <v>2</v>
      </c>
      <c r="G401" s="45">
        <v>45879</v>
      </c>
      <c r="H401" s="47"/>
      <c r="I401" s="48"/>
      <c r="J401" s="47"/>
      <c r="K401" s="48"/>
      <c r="L401" s="46">
        <v>1</v>
      </c>
      <c r="M401" s="46">
        <v>0</v>
      </c>
      <c r="N401" s="46" t="s">
        <v>26</v>
      </c>
      <c r="O401" s="43" t="s">
        <v>68</v>
      </c>
      <c r="P401" s="43" t="s">
        <v>69</v>
      </c>
      <c r="Q401" s="49" t="s">
        <v>70</v>
      </c>
      <c r="R401" s="1"/>
      <c r="S401" s="1"/>
      <c r="T401" s="1"/>
      <c r="U401" s="1"/>
      <c r="V401" s="1"/>
      <c r="W401" s="1"/>
      <c r="X401" s="1"/>
      <c r="Y401" s="1"/>
      <c r="Z401" s="1"/>
      <c r="AA401" s="1"/>
      <c r="AB401" s="1"/>
      <c r="AC401" s="1"/>
      <c r="AD401" s="1"/>
      <c r="AE401" s="1"/>
    </row>
    <row r="402" spans="1:31" ht="25" x14ac:dyDescent="0.25">
      <c r="A402" s="1"/>
      <c r="B402" s="128"/>
      <c r="C402" s="36" t="s">
        <v>71</v>
      </c>
      <c r="D402" s="37" t="s">
        <v>25</v>
      </c>
      <c r="E402" s="39" t="s">
        <v>32</v>
      </c>
      <c r="F402" s="39">
        <v>2</v>
      </c>
      <c r="G402" s="38">
        <v>45879</v>
      </c>
      <c r="H402" s="40"/>
      <c r="I402" s="41"/>
      <c r="J402" s="40"/>
      <c r="K402" s="41"/>
      <c r="L402" s="39">
        <v>0</v>
      </c>
      <c r="M402" s="39">
        <v>0</v>
      </c>
      <c r="N402" s="39" t="s">
        <v>30</v>
      </c>
      <c r="O402" s="36" t="s">
        <v>72</v>
      </c>
      <c r="P402" s="36" t="s">
        <v>34</v>
      </c>
      <c r="Q402" s="42" t="s">
        <v>73</v>
      </c>
      <c r="R402" s="1"/>
      <c r="S402" s="1"/>
      <c r="T402" s="1"/>
      <c r="U402" s="1"/>
      <c r="V402" s="1"/>
      <c r="W402" s="1"/>
      <c r="X402" s="1"/>
      <c r="Y402" s="1"/>
      <c r="Z402" s="1"/>
      <c r="AA402" s="1"/>
      <c r="AB402" s="1"/>
      <c r="AC402" s="1"/>
      <c r="AD402" s="1"/>
      <c r="AE402" s="1"/>
    </row>
    <row r="403" spans="1:31" ht="25" x14ac:dyDescent="0.25">
      <c r="A403" s="1"/>
      <c r="B403" s="128"/>
      <c r="C403" s="43" t="s">
        <v>74</v>
      </c>
      <c r="D403" s="44" t="s">
        <v>25</v>
      </c>
      <c r="E403" s="46" t="s">
        <v>32</v>
      </c>
      <c r="F403" s="46">
        <v>1</v>
      </c>
      <c r="G403" s="45">
        <v>45879</v>
      </c>
      <c r="H403" s="47"/>
      <c r="I403" s="48"/>
      <c r="J403" s="47"/>
      <c r="K403" s="48"/>
      <c r="L403" s="46">
        <v>0</v>
      </c>
      <c r="M403" s="46" t="s">
        <v>25</v>
      </c>
      <c r="N403" s="46" t="s">
        <v>30</v>
      </c>
      <c r="O403" s="43" t="s">
        <v>75</v>
      </c>
      <c r="P403" s="51" t="s">
        <v>76</v>
      </c>
      <c r="Q403" s="49" t="s">
        <v>77</v>
      </c>
      <c r="R403" s="1"/>
      <c r="S403" s="1"/>
      <c r="T403" s="1"/>
      <c r="U403" s="1"/>
      <c r="V403" s="1"/>
      <c r="W403" s="1"/>
      <c r="X403" s="1"/>
      <c r="Y403" s="1"/>
      <c r="Z403" s="1"/>
      <c r="AA403" s="1"/>
      <c r="AB403" s="1"/>
      <c r="AC403" s="1"/>
      <c r="AD403" s="1"/>
      <c r="AE403" s="1"/>
    </row>
    <row r="404" spans="1:31" ht="25" x14ac:dyDescent="0.25">
      <c r="A404" s="1"/>
      <c r="B404" s="128"/>
      <c r="C404" s="36" t="s">
        <v>78</v>
      </c>
      <c r="D404" s="37" t="s">
        <v>25</v>
      </c>
      <c r="E404" s="39" t="s">
        <v>32</v>
      </c>
      <c r="F404" s="39">
        <v>2</v>
      </c>
      <c r="G404" s="38">
        <v>45816</v>
      </c>
      <c r="H404" s="40"/>
      <c r="I404" s="41"/>
      <c r="J404" s="40"/>
      <c r="K404" s="41"/>
      <c r="L404" s="39">
        <v>0</v>
      </c>
      <c r="M404" s="39">
        <v>0</v>
      </c>
      <c r="N404" s="39" t="s">
        <v>30</v>
      </c>
      <c r="O404" s="50" t="s">
        <v>79</v>
      </c>
      <c r="P404" s="50" t="s">
        <v>80</v>
      </c>
      <c r="Q404" s="42" t="s">
        <v>81</v>
      </c>
      <c r="R404" s="1"/>
      <c r="S404" s="1"/>
      <c r="T404" s="1"/>
      <c r="U404" s="1"/>
      <c r="V404" s="1"/>
      <c r="W404" s="1"/>
      <c r="X404" s="1"/>
      <c r="Y404" s="1"/>
      <c r="Z404" s="1"/>
      <c r="AA404" s="1"/>
      <c r="AB404" s="1"/>
      <c r="AC404" s="1"/>
      <c r="AD404" s="1"/>
      <c r="AE404" s="1"/>
    </row>
    <row r="405" spans="1:31" ht="37.5" x14ac:dyDescent="0.25">
      <c r="A405" s="1"/>
      <c r="B405" s="130" t="s">
        <v>143</v>
      </c>
      <c r="C405" s="29" t="s">
        <v>48</v>
      </c>
      <c r="D405" s="30" t="s">
        <v>133</v>
      </c>
      <c r="E405" s="31">
        <v>45659</v>
      </c>
      <c r="F405" s="32">
        <v>2</v>
      </c>
      <c r="G405" s="31">
        <v>45879</v>
      </c>
      <c r="H405" s="33"/>
      <c r="I405" s="34"/>
      <c r="J405" s="33"/>
      <c r="K405" s="34"/>
      <c r="L405" s="32">
        <v>0</v>
      </c>
      <c r="M405" s="32">
        <v>0</v>
      </c>
      <c r="N405" s="32" t="s">
        <v>30</v>
      </c>
      <c r="O405" s="29" t="s">
        <v>49</v>
      </c>
      <c r="P405" s="29" t="s">
        <v>50</v>
      </c>
      <c r="Q405" s="35" t="s">
        <v>51</v>
      </c>
      <c r="R405" s="1"/>
      <c r="S405" s="1"/>
      <c r="T405" s="1"/>
      <c r="U405" s="1"/>
      <c r="V405" s="1"/>
      <c r="W405" s="1"/>
      <c r="X405" s="1"/>
      <c r="Y405" s="1"/>
      <c r="Z405" s="1"/>
      <c r="AA405" s="1"/>
      <c r="AB405" s="1"/>
      <c r="AC405" s="1"/>
      <c r="AD405" s="1"/>
      <c r="AE405" s="1"/>
    </row>
    <row r="406" spans="1:31" ht="37.5" x14ac:dyDescent="0.25">
      <c r="A406" s="1"/>
      <c r="B406" s="128"/>
      <c r="C406" s="36" t="s">
        <v>82</v>
      </c>
      <c r="D406" s="37" t="s">
        <v>25</v>
      </c>
      <c r="E406" s="38">
        <v>45691</v>
      </c>
      <c r="F406" s="39">
        <v>2</v>
      </c>
      <c r="G406" s="38">
        <v>45816</v>
      </c>
      <c r="H406" s="40"/>
      <c r="I406" s="41"/>
      <c r="J406" s="40"/>
      <c r="K406" s="41"/>
      <c r="L406" s="39">
        <v>2</v>
      </c>
      <c r="M406" s="39">
        <v>1</v>
      </c>
      <c r="N406" s="39" t="s">
        <v>37</v>
      </c>
      <c r="O406" s="36" t="s">
        <v>83</v>
      </c>
      <c r="P406" s="36" t="s">
        <v>84</v>
      </c>
      <c r="Q406" s="42" t="s">
        <v>85</v>
      </c>
      <c r="R406" s="1"/>
      <c r="S406" s="1"/>
      <c r="T406" s="1"/>
      <c r="U406" s="1"/>
      <c r="V406" s="1"/>
      <c r="W406" s="1"/>
      <c r="X406" s="1"/>
      <c r="Y406" s="1"/>
      <c r="Z406" s="1"/>
      <c r="AA406" s="1"/>
      <c r="AB406" s="1"/>
      <c r="AC406" s="1"/>
      <c r="AD406" s="1"/>
      <c r="AE406" s="1"/>
    </row>
    <row r="407" spans="1:31" x14ac:dyDescent="0.25">
      <c r="A407" s="1"/>
      <c r="B407" s="128"/>
      <c r="C407" s="43" t="s">
        <v>86</v>
      </c>
      <c r="D407" s="44" t="s">
        <v>25</v>
      </c>
      <c r="E407" s="45">
        <v>45692</v>
      </c>
      <c r="F407" s="46">
        <v>2</v>
      </c>
      <c r="G407" s="45">
        <v>45816</v>
      </c>
      <c r="H407" s="47"/>
      <c r="I407" s="48"/>
      <c r="J407" s="47"/>
      <c r="K407" s="48"/>
      <c r="L407" s="46">
        <v>1</v>
      </c>
      <c r="M407" s="46">
        <v>0</v>
      </c>
      <c r="N407" s="46" t="s">
        <v>37</v>
      </c>
      <c r="O407" s="43" t="s">
        <v>87</v>
      </c>
      <c r="P407" s="43" t="s">
        <v>88</v>
      </c>
      <c r="Q407" s="49" t="s">
        <v>89</v>
      </c>
      <c r="R407" s="1"/>
      <c r="S407" s="1"/>
      <c r="T407" s="1"/>
      <c r="U407" s="1"/>
      <c r="V407" s="1"/>
      <c r="W407" s="1"/>
      <c r="X407" s="1"/>
      <c r="Y407" s="1"/>
      <c r="Z407" s="1"/>
      <c r="AA407" s="1"/>
      <c r="AB407" s="1"/>
      <c r="AC407" s="1"/>
      <c r="AD407" s="1"/>
      <c r="AE407" s="1"/>
    </row>
    <row r="408" spans="1:31" ht="25" x14ac:dyDescent="0.25">
      <c r="A408" s="1"/>
      <c r="B408" s="128"/>
      <c r="C408" s="36" t="s">
        <v>90</v>
      </c>
      <c r="D408" s="37" t="s">
        <v>25</v>
      </c>
      <c r="E408" s="38">
        <v>45692</v>
      </c>
      <c r="F408" s="39">
        <v>1</v>
      </c>
      <c r="G408" s="38">
        <v>45816</v>
      </c>
      <c r="H408" s="40"/>
      <c r="I408" s="41"/>
      <c r="J408" s="40"/>
      <c r="K408" s="41"/>
      <c r="L408" s="39">
        <v>0</v>
      </c>
      <c r="M408" s="39" t="s">
        <v>25</v>
      </c>
      <c r="N408" s="39" t="s">
        <v>37</v>
      </c>
      <c r="O408" s="36" t="s">
        <v>91</v>
      </c>
      <c r="P408" s="36" t="s">
        <v>92</v>
      </c>
      <c r="Q408" s="42" t="s">
        <v>93</v>
      </c>
      <c r="R408" s="1"/>
      <c r="S408" s="1"/>
      <c r="T408" s="1"/>
      <c r="U408" s="1"/>
      <c r="V408" s="1"/>
      <c r="W408" s="1"/>
      <c r="X408" s="1"/>
      <c r="Y408" s="1"/>
      <c r="Z408" s="1"/>
      <c r="AA408" s="1"/>
      <c r="AB408" s="1"/>
      <c r="AC408" s="1"/>
      <c r="AD408" s="1"/>
      <c r="AE408" s="1"/>
    </row>
    <row r="409" spans="1:31" ht="37.5" x14ac:dyDescent="0.25">
      <c r="A409" s="1"/>
      <c r="B409" s="131"/>
      <c r="C409" s="64" t="s">
        <v>52</v>
      </c>
      <c r="D409" s="65" t="s">
        <v>133</v>
      </c>
      <c r="E409" s="66" t="s">
        <v>32</v>
      </c>
      <c r="F409" s="66">
        <v>2</v>
      </c>
      <c r="G409" s="69">
        <v>45879</v>
      </c>
      <c r="H409" s="67"/>
      <c r="I409" s="68"/>
      <c r="J409" s="67"/>
      <c r="K409" s="68"/>
      <c r="L409" s="66">
        <v>0</v>
      </c>
      <c r="M409" s="66">
        <v>0</v>
      </c>
      <c r="N409" s="66" t="s">
        <v>30</v>
      </c>
      <c r="O409" s="64" t="s">
        <v>53</v>
      </c>
      <c r="P409" s="64" t="s">
        <v>54</v>
      </c>
      <c r="Q409" s="70" t="s">
        <v>55</v>
      </c>
      <c r="R409" s="1"/>
      <c r="S409" s="1"/>
      <c r="T409" s="1"/>
      <c r="U409" s="1"/>
      <c r="V409" s="1"/>
      <c r="W409" s="1"/>
      <c r="X409" s="1"/>
      <c r="Y409" s="1"/>
      <c r="Z409" s="1"/>
      <c r="AA409" s="1"/>
      <c r="AB409" s="1"/>
      <c r="AC409" s="1"/>
      <c r="AD409" s="1"/>
      <c r="AE409" s="1"/>
    </row>
    <row r="410" spans="1:31" ht="37.5" x14ac:dyDescent="0.25">
      <c r="A410" s="1"/>
      <c r="B410" s="130" t="s">
        <v>94</v>
      </c>
      <c r="C410" s="36" t="s">
        <v>95</v>
      </c>
      <c r="D410" s="37" t="s">
        <v>25</v>
      </c>
      <c r="E410" s="39" t="s">
        <v>32</v>
      </c>
      <c r="F410" s="39">
        <v>2</v>
      </c>
      <c r="G410" s="38">
        <v>45816</v>
      </c>
      <c r="H410" s="40"/>
      <c r="I410" s="41"/>
      <c r="J410" s="40"/>
      <c r="K410" s="41"/>
      <c r="L410" s="39">
        <v>0</v>
      </c>
      <c r="M410" s="39">
        <v>0</v>
      </c>
      <c r="N410" s="39" t="s">
        <v>30</v>
      </c>
      <c r="O410" s="36" t="s">
        <v>96</v>
      </c>
      <c r="P410" s="36" t="s">
        <v>97</v>
      </c>
      <c r="Q410" s="42" t="s">
        <v>98</v>
      </c>
      <c r="R410" s="1"/>
      <c r="S410" s="1"/>
      <c r="T410" s="1"/>
      <c r="U410" s="1"/>
      <c r="V410" s="1"/>
      <c r="W410" s="1"/>
      <c r="X410" s="1"/>
      <c r="Y410" s="1"/>
      <c r="Z410" s="1"/>
      <c r="AA410" s="1"/>
      <c r="AB410" s="1"/>
      <c r="AC410" s="1"/>
      <c r="AD410" s="1"/>
      <c r="AE410" s="1"/>
    </row>
    <row r="411" spans="1:31" ht="25" x14ac:dyDescent="0.25">
      <c r="A411" s="1"/>
      <c r="B411" s="128"/>
      <c r="C411" s="43" t="s">
        <v>99</v>
      </c>
      <c r="D411" s="44" t="s">
        <v>25</v>
      </c>
      <c r="E411" s="46" t="s">
        <v>32</v>
      </c>
      <c r="F411" s="46">
        <v>2</v>
      </c>
      <c r="G411" s="45">
        <v>45879</v>
      </c>
      <c r="H411" s="47"/>
      <c r="I411" s="48"/>
      <c r="J411" s="47"/>
      <c r="K411" s="48"/>
      <c r="L411" s="46">
        <v>0</v>
      </c>
      <c r="M411" s="46">
        <v>0</v>
      </c>
      <c r="N411" s="46" t="s">
        <v>30</v>
      </c>
      <c r="O411" s="43" t="s">
        <v>100</v>
      </c>
      <c r="P411" s="43" t="s">
        <v>101</v>
      </c>
      <c r="Q411" s="49" t="s">
        <v>102</v>
      </c>
      <c r="R411" s="1"/>
      <c r="S411" s="1"/>
      <c r="T411" s="1"/>
      <c r="U411" s="1"/>
      <c r="V411" s="1"/>
      <c r="W411" s="1"/>
      <c r="X411" s="1"/>
      <c r="Y411" s="1"/>
      <c r="Z411" s="1"/>
      <c r="AA411" s="1"/>
      <c r="AB411" s="1"/>
      <c r="AC411" s="1"/>
      <c r="AD411" s="1"/>
      <c r="AE411" s="1"/>
    </row>
    <row r="412" spans="1:31" ht="25" x14ac:dyDescent="0.25">
      <c r="A412" s="1"/>
      <c r="B412" s="128"/>
      <c r="C412" s="36" t="s">
        <v>103</v>
      </c>
      <c r="D412" s="37" t="s">
        <v>25</v>
      </c>
      <c r="E412" s="39" t="s">
        <v>32</v>
      </c>
      <c r="F412" s="39">
        <v>1</v>
      </c>
      <c r="G412" s="38">
        <v>45879</v>
      </c>
      <c r="H412" s="40"/>
      <c r="I412" s="41"/>
      <c r="J412" s="40"/>
      <c r="K412" s="41"/>
      <c r="L412" s="39">
        <v>0</v>
      </c>
      <c r="M412" s="39" t="s">
        <v>25</v>
      </c>
      <c r="N412" s="39" t="s">
        <v>30</v>
      </c>
      <c r="O412" s="36" t="s">
        <v>104</v>
      </c>
      <c r="P412" s="36" t="s">
        <v>105</v>
      </c>
      <c r="Q412" s="42" t="s">
        <v>106</v>
      </c>
      <c r="R412" s="1"/>
      <c r="S412" s="1"/>
      <c r="T412" s="1"/>
      <c r="U412" s="1"/>
      <c r="V412" s="1"/>
      <c r="W412" s="1"/>
      <c r="X412" s="1"/>
      <c r="Y412" s="1"/>
      <c r="Z412" s="1"/>
      <c r="AA412" s="1"/>
      <c r="AB412" s="1"/>
      <c r="AC412" s="1"/>
      <c r="AD412" s="1"/>
      <c r="AE412" s="1"/>
    </row>
    <row r="413" spans="1:31" x14ac:dyDescent="0.25">
      <c r="A413" s="1"/>
      <c r="B413" s="128"/>
      <c r="C413" s="43" t="s">
        <v>107</v>
      </c>
      <c r="D413" s="44" t="s">
        <v>132</v>
      </c>
      <c r="E413" s="46" t="s">
        <v>32</v>
      </c>
      <c r="F413" s="46">
        <v>2</v>
      </c>
      <c r="G413" s="45">
        <v>45879</v>
      </c>
      <c r="H413" s="47"/>
      <c r="I413" s="48"/>
      <c r="J413" s="47"/>
      <c r="K413" s="48"/>
      <c r="L413" s="46">
        <v>0</v>
      </c>
      <c r="M413" s="46">
        <v>0</v>
      </c>
      <c r="N413" s="46" t="s">
        <v>30</v>
      </c>
      <c r="O413" s="43" t="s">
        <v>108</v>
      </c>
      <c r="P413" s="43" t="s">
        <v>109</v>
      </c>
      <c r="Q413" s="49" t="s">
        <v>110</v>
      </c>
      <c r="R413" s="1"/>
      <c r="S413" s="1"/>
      <c r="T413" s="1"/>
      <c r="U413" s="1"/>
      <c r="V413" s="1"/>
      <c r="W413" s="1"/>
      <c r="X413" s="1"/>
      <c r="Y413" s="1"/>
      <c r="Z413" s="1"/>
      <c r="AA413" s="1"/>
      <c r="AB413" s="1"/>
      <c r="AC413" s="1"/>
      <c r="AD413" s="1"/>
      <c r="AE413" s="1"/>
    </row>
    <row r="414" spans="1:31" x14ac:dyDescent="0.25">
      <c r="A414" s="1"/>
      <c r="B414" s="128"/>
      <c r="C414" s="36" t="s">
        <v>111</v>
      </c>
      <c r="D414" s="37" t="s">
        <v>25</v>
      </c>
      <c r="E414" s="39" t="s">
        <v>32</v>
      </c>
      <c r="F414" s="39">
        <v>2</v>
      </c>
      <c r="G414" s="38">
        <v>45879</v>
      </c>
      <c r="H414" s="40"/>
      <c r="I414" s="41"/>
      <c r="J414" s="40"/>
      <c r="K414" s="41"/>
      <c r="L414" s="39">
        <v>0</v>
      </c>
      <c r="M414" s="39">
        <v>0</v>
      </c>
      <c r="N414" s="39" t="s">
        <v>30</v>
      </c>
      <c r="O414" s="36" t="s">
        <v>112</v>
      </c>
      <c r="P414" s="37" t="s">
        <v>25</v>
      </c>
      <c r="Q414" s="42" t="s">
        <v>113</v>
      </c>
      <c r="R414" s="1"/>
      <c r="S414" s="1"/>
      <c r="T414" s="1"/>
      <c r="U414" s="1"/>
      <c r="V414" s="1"/>
      <c r="W414" s="1"/>
      <c r="X414" s="1"/>
      <c r="Y414" s="1"/>
      <c r="Z414" s="1"/>
      <c r="AA414" s="1"/>
      <c r="AB414" s="1"/>
      <c r="AC414" s="1"/>
      <c r="AD414" s="1"/>
      <c r="AE414" s="1"/>
    </row>
    <row r="415" spans="1:31" x14ac:dyDescent="0.25">
      <c r="A415" s="1"/>
      <c r="B415" s="128"/>
      <c r="C415" s="43" t="s">
        <v>114</v>
      </c>
      <c r="D415" s="44" t="s">
        <v>25</v>
      </c>
      <c r="E415" s="46" t="s">
        <v>32</v>
      </c>
      <c r="F415" s="46">
        <v>2</v>
      </c>
      <c r="G415" s="45">
        <v>45879</v>
      </c>
      <c r="H415" s="47"/>
      <c r="I415" s="48"/>
      <c r="J415" s="47"/>
      <c r="K415" s="48"/>
      <c r="L415" s="46">
        <v>0</v>
      </c>
      <c r="M415" s="46">
        <v>0</v>
      </c>
      <c r="N415" s="46" t="s">
        <v>30</v>
      </c>
      <c r="O415" s="43" t="s">
        <v>115</v>
      </c>
      <c r="P415" s="44" t="s">
        <v>25</v>
      </c>
      <c r="Q415" s="49" t="s">
        <v>113</v>
      </c>
      <c r="R415" s="1"/>
      <c r="S415" s="1"/>
      <c r="T415" s="1"/>
      <c r="U415" s="1"/>
      <c r="V415" s="1"/>
      <c r="W415" s="1"/>
      <c r="X415" s="1"/>
      <c r="Y415" s="1"/>
      <c r="Z415" s="1"/>
      <c r="AA415" s="1"/>
      <c r="AB415" s="1"/>
      <c r="AC415" s="1"/>
      <c r="AD415" s="1"/>
      <c r="AE415" s="1"/>
    </row>
    <row r="416" spans="1:31" x14ac:dyDescent="0.25">
      <c r="A416" s="1"/>
      <c r="B416" s="128"/>
      <c r="C416" s="36" t="s">
        <v>116</v>
      </c>
      <c r="D416" s="37" t="s">
        <v>132</v>
      </c>
      <c r="E416" s="39" t="s">
        <v>32</v>
      </c>
      <c r="F416" s="39">
        <v>1</v>
      </c>
      <c r="G416" s="38">
        <v>45816</v>
      </c>
      <c r="H416" s="40"/>
      <c r="I416" s="41"/>
      <c r="J416" s="40"/>
      <c r="K416" s="41"/>
      <c r="L416" s="39">
        <v>0</v>
      </c>
      <c r="M416" s="39" t="s">
        <v>25</v>
      </c>
      <c r="N416" s="39" t="s">
        <v>30</v>
      </c>
      <c r="O416" s="36" t="s">
        <v>117</v>
      </c>
      <c r="P416" s="36" t="s">
        <v>118</v>
      </c>
      <c r="Q416" s="42" t="s">
        <v>119</v>
      </c>
      <c r="R416" s="1"/>
      <c r="S416" s="1"/>
      <c r="T416" s="1"/>
      <c r="U416" s="1"/>
      <c r="V416" s="1"/>
      <c r="W416" s="1"/>
      <c r="X416" s="1"/>
      <c r="Y416" s="1"/>
      <c r="Z416" s="1"/>
      <c r="AA416" s="1"/>
      <c r="AB416" s="1"/>
      <c r="AC416" s="1"/>
      <c r="AD416" s="1"/>
      <c r="AE416" s="1"/>
    </row>
    <row r="417" spans="1:31" ht="25" x14ac:dyDescent="0.25">
      <c r="A417" s="1"/>
      <c r="B417" s="128"/>
      <c r="C417" s="43" t="s">
        <v>34</v>
      </c>
      <c r="D417" s="44" t="s">
        <v>134</v>
      </c>
      <c r="E417" s="46" t="s">
        <v>32</v>
      </c>
      <c r="F417" s="46">
        <v>2</v>
      </c>
      <c r="G417" s="45">
        <v>45879</v>
      </c>
      <c r="H417" s="47"/>
      <c r="I417" s="46"/>
      <c r="J417" s="47"/>
      <c r="K417" s="48"/>
      <c r="L417" s="46">
        <v>0</v>
      </c>
      <c r="M417" s="46">
        <v>0</v>
      </c>
      <c r="N417" s="46" t="s">
        <v>30</v>
      </c>
      <c r="O417" s="43" t="s">
        <v>71</v>
      </c>
      <c r="P417" s="43" t="s">
        <v>72</v>
      </c>
      <c r="Q417" s="49" t="s">
        <v>120</v>
      </c>
      <c r="R417" s="1"/>
      <c r="S417" s="1"/>
      <c r="T417" s="1"/>
      <c r="U417" s="1"/>
      <c r="V417" s="1"/>
      <c r="W417" s="1"/>
      <c r="X417" s="1"/>
      <c r="Y417" s="1"/>
      <c r="Z417" s="1"/>
      <c r="AA417" s="1"/>
      <c r="AB417" s="1"/>
      <c r="AC417" s="1"/>
      <c r="AD417" s="1"/>
      <c r="AE417" s="1"/>
    </row>
    <row r="418" spans="1:31" x14ac:dyDescent="0.25">
      <c r="A418" s="1"/>
      <c r="B418" s="131"/>
      <c r="C418" s="59" t="s">
        <v>121</v>
      </c>
      <c r="D418" s="60" t="s">
        <v>25</v>
      </c>
      <c r="E418" s="61" t="s">
        <v>32</v>
      </c>
      <c r="F418" s="61">
        <v>2</v>
      </c>
      <c r="G418" s="61" t="s">
        <v>25</v>
      </c>
      <c r="H418" s="62"/>
      <c r="I418" s="61"/>
      <c r="J418" s="62"/>
      <c r="K418" s="63"/>
      <c r="L418" s="61">
        <v>0</v>
      </c>
      <c r="M418" s="61">
        <v>0</v>
      </c>
      <c r="N418" s="61" t="s">
        <v>30</v>
      </c>
      <c r="O418" s="60" t="s">
        <v>25</v>
      </c>
      <c r="P418" s="60" t="s">
        <v>25</v>
      </c>
      <c r="Q418" s="71" t="s">
        <v>122</v>
      </c>
      <c r="R418" s="1"/>
      <c r="S418" s="1"/>
      <c r="T418" s="1"/>
      <c r="U418" s="1"/>
      <c r="V418" s="1"/>
      <c r="W418" s="1"/>
      <c r="X418" s="1"/>
      <c r="Y418" s="1"/>
      <c r="Z418" s="1"/>
      <c r="AA418" s="1"/>
      <c r="AB418" s="1"/>
      <c r="AC418" s="1"/>
      <c r="AD418" s="1"/>
      <c r="AE418" s="1"/>
    </row>
    <row r="419" spans="1:31" ht="13" x14ac:dyDescent="0.25">
      <c r="A419" s="1"/>
      <c r="B419" s="155" t="s">
        <v>141</v>
      </c>
      <c r="C419" s="156"/>
      <c r="D419" s="156"/>
      <c r="E419" s="156"/>
      <c r="F419" s="156"/>
      <c r="G419" s="156"/>
      <c r="H419" s="156"/>
      <c r="I419" s="156"/>
      <c r="J419" s="156"/>
      <c r="K419" s="156"/>
      <c r="L419" s="156"/>
      <c r="M419" s="156"/>
      <c r="N419" s="156"/>
      <c r="O419" s="156"/>
      <c r="P419" s="156"/>
      <c r="Q419" s="157"/>
      <c r="R419" s="1"/>
      <c r="S419" s="1"/>
      <c r="T419" s="1"/>
      <c r="U419" s="1"/>
      <c r="V419" s="1"/>
      <c r="W419" s="1"/>
      <c r="X419" s="1"/>
      <c r="Y419" s="1"/>
      <c r="Z419" s="1"/>
      <c r="AA419" s="1"/>
      <c r="AB419" s="1"/>
      <c r="AC419" s="1"/>
      <c r="AD419" s="1"/>
      <c r="AE419" s="1"/>
    </row>
    <row r="420" spans="1:31" x14ac:dyDescent="0.25">
      <c r="A420" s="1"/>
      <c r="B420" s="1"/>
      <c r="C420" s="5"/>
      <c r="D420" s="5"/>
      <c r="E420" s="1"/>
      <c r="F420" s="1"/>
      <c r="G420" s="1"/>
      <c r="H420" s="1"/>
      <c r="I420" s="1"/>
      <c r="J420" s="1"/>
      <c r="K420" s="1"/>
      <c r="L420" s="1"/>
      <c r="M420" s="1"/>
      <c r="N420" s="1"/>
      <c r="O420" s="5"/>
      <c r="P420" s="5"/>
      <c r="Q420" s="5"/>
      <c r="R420" s="1"/>
      <c r="S420" s="1"/>
      <c r="T420" s="1"/>
      <c r="U420" s="1"/>
      <c r="V420" s="1"/>
      <c r="W420" s="1"/>
      <c r="X420" s="1"/>
      <c r="Y420" s="1"/>
      <c r="Z420" s="1"/>
      <c r="AA420" s="1"/>
      <c r="AB420" s="1"/>
      <c r="AC420" s="1"/>
      <c r="AD420" s="1"/>
      <c r="AE420" s="1"/>
    </row>
    <row r="421" spans="1:31" x14ac:dyDescent="0.25">
      <c r="A421" s="1"/>
      <c r="B421" s="1"/>
      <c r="C421" s="5"/>
      <c r="D421" s="5"/>
      <c r="E421" s="1"/>
      <c r="F421" s="1"/>
      <c r="G421" s="1"/>
      <c r="H421" s="1"/>
      <c r="I421" s="1"/>
      <c r="J421" s="1"/>
      <c r="K421" s="1"/>
      <c r="L421" s="1"/>
      <c r="M421" s="1"/>
      <c r="N421" s="1"/>
      <c r="O421" s="5"/>
      <c r="P421" s="5"/>
      <c r="Q421" s="5"/>
      <c r="R421" s="1"/>
      <c r="S421" s="1"/>
      <c r="T421" s="1"/>
      <c r="U421" s="1"/>
      <c r="V421" s="1"/>
      <c r="W421" s="1"/>
      <c r="X421" s="1"/>
      <c r="Y421" s="1"/>
      <c r="Z421" s="1"/>
      <c r="AA421" s="1"/>
      <c r="AB421" s="1"/>
      <c r="AC421" s="1"/>
      <c r="AD421" s="1"/>
      <c r="AE421" s="1"/>
    </row>
    <row r="422" spans="1:31" x14ac:dyDescent="0.25">
      <c r="A422" s="1"/>
      <c r="B422" s="1"/>
      <c r="C422" s="5"/>
      <c r="D422" s="5"/>
      <c r="E422" s="1"/>
      <c r="F422" s="1"/>
      <c r="G422" s="1"/>
      <c r="H422" s="1"/>
      <c r="I422" s="1"/>
      <c r="J422" s="1"/>
      <c r="K422" s="1"/>
      <c r="L422" s="1"/>
      <c r="M422" s="1"/>
      <c r="N422" s="1"/>
      <c r="O422" s="5"/>
      <c r="P422" s="5"/>
      <c r="Q422" s="5"/>
      <c r="R422" s="1"/>
      <c r="S422" s="1"/>
      <c r="T422" s="1"/>
      <c r="U422" s="1"/>
      <c r="V422" s="1"/>
      <c r="W422" s="1"/>
      <c r="X422" s="1"/>
      <c r="Y422" s="1"/>
      <c r="Z422" s="1"/>
      <c r="AA422" s="1"/>
      <c r="AB422" s="1"/>
      <c r="AC422" s="1"/>
      <c r="AD422" s="1"/>
      <c r="AE422" s="1"/>
    </row>
    <row r="423" spans="1:31" x14ac:dyDescent="0.25">
      <c r="A423" s="1"/>
      <c r="B423" s="1"/>
      <c r="C423" s="5"/>
      <c r="D423" s="5"/>
      <c r="E423" s="1"/>
      <c r="F423" s="1"/>
      <c r="G423" s="1"/>
      <c r="H423" s="1"/>
      <c r="I423" s="1"/>
      <c r="J423" s="1"/>
      <c r="K423" s="1"/>
      <c r="L423" s="1"/>
      <c r="M423" s="1"/>
      <c r="N423" s="1"/>
      <c r="O423" s="5"/>
      <c r="P423" s="5"/>
      <c r="Q423" s="5"/>
      <c r="R423" s="1"/>
      <c r="S423" s="1"/>
      <c r="T423" s="1"/>
      <c r="U423" s="1"/>
      <c r="V423" s="1"/>
      <c r="W423" s="1"/>
      <c r="X423" s="1"/>
      <c r="Y423" s="1"/>
      <c r="Z423" s="1"/>
      <c r="AA423" s="1"/>
      <c r="AB423" s="1"/>
      <c r="AC423" s="1"/>
      <c r="AD423" s="1"/>
      <c r="AE423" s="1"/>
    </row>
    <row r="424" spans="1:31" x14ac:dyDescent="0.25">
      <c r="A424" s="1"/>
      <c r="B424" s="1"/>
      <c r="C424" s="5"/>
      <c r="D424" s="5"/>
      <c r="E424" s="1"/>
      <c r="F424" s="1"/>
      <c r="G424" s="1"/>
      <c r="H424" s="1"/>
      <c r="I424" s="1"/>
      <c r="J424" s="1"/>
      <c r="K424" s="1"/>
      <c r="L424" s="1"/>
      <c r="M424" s="1"/>
      <c r="N424" s="1"/>
      <c r="O424" s="5"/>
      <c r="P424" s="5"/>
      <c r="Q424" s="5"/>
      <c r="R424" s="1"/>
      <c r="S424" s="1"/>
      <c r="T424" s="1"/>
      <c r="U424" s="1"/>
      <c r="V424" s="1"/>
      <c r="W424" s="1"/>
      <c r="X424" s="1"/>
      <c r="Y424" s="1"/>
      <c r="Z424" s="1"/>
      <c r="AA424" s="1"/>
      <c r="AB424" s="1"/>
      <c r="AC424" s="1"/>
      <c r="AD424" s="1"/>
      <c r="AE424" s="1"/>
    </row>
    <row r="425" spans="1:31" x14ac:dyDescent="0.25">
      <c r="A425" s="1"/>
      <c r="B425" s="1"/>
      <c r="C425" s="5"/>
      <c r="D425" s="5"/>
      <c r="E425" s="1"/>
      <c r="F425" s="1"/>
      <c r="G425" s="1"/>
      <c r="H425" s="1"/>
      <c r="I425" s="1"/>
      <c r="J425" s="1"/>
      <c r="K425" s="1"/>
      <c r="L425" s="1"/>
      <c r="M425" s="1"/>
      <c r="N425" s="1"/>
      <c r="O425" s="5"/>
      <c r="P425" s="5"/>
      <c r="Q425" s="5"/>
      <c r="R425" s="1"/>
      <c r="S425" s="1"/>
      <c r="T425" s="1"/>
      <c r="U425" s="1"/>
      <c r="V425" s="1"/>
      <c r="W425" s="1"/>
      <c r="X425" s="1"/>
      <c r="Y425" s="1"/>
      <c r="Z425" s="1"/>
      <c r="AA425" s="1"/>
      <c r="AB425" s="1"/>
      <c r="AC425" s="1"/>
      <c r="AD425" s="1"/>
      <c r="AE425" s="1"/>
    </row>
    <row r="426" spans="1:31" x14ac:dyDescent="0.25">
      <c r="A426" s="1"/>
      <c r="B426" s="1"/>
      <c r="C426" s="5"/>
      <c r="D426" s="5"/>
      <c r="E426" s="1"/>
      <c r="F426" s="1"/>
      <c r="G426" s="1"/>
      <c r="H426" s="1"/>
      <c r="I426" s="1"/>
      <c r="J426" s="1"/>
      <c r="K426" s="1"/>
      <c r="L426" s="1"/>
      <c r="M426" s="1"/>
      <c r="N426" s="1"/>
      <c r="O426" s="5"/>
      <c r="P426" s="5"/>
      <c r="Q426" s="5"/>
      <c r="R426" s="1"/>
      <c r="S426" s="1"/>
      <c r="T426" s="1"/>
      <c r="U426" s="1"/>
      <c r="V426" s="1"/>
      <c r="W426" s="1"/>
      <c r="X426" s="1"/>
      <c r="Y426" s="1"/>
      <c r="Z426" s="1"/>
      <c r="AA426" s="1"/>
      <c r="AB426" s="1"/>
      <c r="AC426" s="1"/>
      <c r="AD426" s="1"/>
      <c r="AE426" s="1"/>
    </row>
    <row r="427" spans="1:31" x14ac:dyDescent="0.25">
      <c r="A427" s="1"/>
      <c r="B427" s="1"/>
      <c r="C427" s="5"/>
      <c r="D427" s="5"/>
      <c r="E427" s="1"/>
      <c r="F427" s="1"/>
      <c r="G427" s="1"/>
      <c r="H427" s="1"/>
      <c r="I427" s="1"/>
      <c r="J427" s="1"/>
      <c r="K427" s="1"/>
      <c r="L427" s="1"/>
      <c r="M427" s="1"/>
      <c r="N427" s="1"/>
      <c r="O427" s="5"/>
      <c r="P427" s="5"/>
      <c r="Q427" s="5"/>
      <c r="R427" s="1"/>
      <c r="S427" s="1"/>
      <c r="T427" s="1"/>
      <c r="U427" s="1"/>
      <c r="V427" s="1"/>
      <c r="W427" s="1"/>
      <c r="X427" s="1"/>
      <c r="Y427" s="1"/>
      <c r="Z427" s="1"/>
      <c r="AA427" s="1"/>
      <c r="AB427" s="1"/>
      <c r="AC427" s="1"/>
      <c r="AD427" s="1"/>
      <c r="AE427" s="1"/>
    </row>
    <row r="428" spans="1:31" x14ac:dyDescent="0.25">
      <c r="A428" s="1"/>
      <c r="B428" s="1"/>
      <c r="C428" s="5"/>
      <c r="D428" s="5"/>
      <c r="E428" s="1"/>
      <c r="F428" s="1"/>
      <c r="G428" s="1"/>
      <c r="H428" s="1"/>
      <c r="I428" s="1"/>
      <c r="J428" s="1"/>
      <c r="K428" s="1"/>
      <c r="L428" s="1"/>
      <c r="M428" s="1"/>
      <c r="N428" s="1"/>
      <c r="O428" s="5"/>
      <c r="P428" s="5"/>
      <c r="Q428" s="5"/>
      <c r="R428" s="1"/>
      <c r="S428" s="1"/>
      <c r="T428" s="1"/>
      <c r="U428" s="1"/>
      <c r="V428" s="1"/>
      <c r="W428" s="1"/>
      <c r="X428" s="1"/>
      <c r="Y428" s="1"/>
      <c r="Z428" s="1"/>
      <c r="AA428" s="1"/>
      <c r="AB428" s="1"/>
      <c r="AC428" s="1"/>
      <c r="AD428" s="1"/>
      <c r="AE428" s="1"/>
    </row>
    <row r="429" spans="1:31" x14ac:dyDescent="0.25">
      <c r="A429" s="1"/>
      <c r="B429" s="1"/>
      <c r="C429" s="5"/>
      <c r="D429" s="5"/>
      <c r="E429" s="1"/>
      <c r="F429" s="1"/>
      <c r="G429" s="1"/>
      <c r="H429" s="1"/>
      <c r="I429" s="1"/>
      <c r="J429" s="1"/>
      <c r="K429" s="1"/>
      <c r="L429" s="1"/>
      <c r="M429" s="1"/>
      <c r="N429" s="1"/>
      <c r="O429" s="5"/>
      <c r="P429" s="5"/>
      <c r="Q429" s="5"/>
      <c r="R429" s="1"/>
      <c r="S429" s="1"/>
      <c r="T429" s="1"/>
      <c r="U429" s="1"/>
      <c r="V429" s="1"/>
      <c r="W429" s="1"/>
      <c r="X429" s="1"/>
      <c r="Y429" s="1"/>
      <c r="Z429" s="1"/>
      <c r="AA429" s="1"/>
      <c r="AB429" s="1"/>
      <c r="AC429" s="1"/>
      <c r="AD429" s="1"/>
      <c r="AE429" s="1"/>
    </row>
    <row r="430" spans="1:31" x14ac:dyDescent="0.25">
      <c r="A430" s="1"/>
      <c r="B430" s="1"/>
      <c r="C430" s="5"/>
      <c r="D430" s="5"/>
      <c r="E430" s="1"/>
      <c r="F430" s="1"/>
      <c r="G430" s="1"/>
      <c r="H430" s="1"/>
      <c r="I430" s="1"/>
      <c r="J430" s="1"/>
      <c r="K430" s="1"/>
      <c r="L430" s="1"/>
      <c r="M430" s="1"/>
      <c r="N430" s="1"/>
      <c r="O430" s="5"/>
      <c r="P430" s="5"/>
      <c r="Q430" s="5"/>
      <c r="R430" s="1"/>
      <c r="S430" s="1"/>
      <c r="T430" s="1"/>
      <c r="U430" s="1"/>
      <c r="V430" s="1"/>
      <c r="W430" s="1"/>
      <c r="X430" s="1"/>
      <c r="Y430" s="1"/>
      <c r="Z430" s="1"/>
      <c r="AA430" s="1"/>
      <c r="AB430" s="1"/>
      <c r="AC430" s="1"/>
      <c r="AD430" s="1"/>
      <c r="AE430" s="1"/>
    </row>
    <row r="431" spans="1:31" x14ac:dyDescent="0.25">
      <c r="A431" s="1"/>
      <c r="B431" s="1"/>
      <c r="C431" s="5"/>
      <c r="D431" s="5"/>
      <c r="E431" s="1"/>
      <c r="F431" s="1"/>
      <c r="G431" s="1"/>
      <c r="H431" s="1"/>
      <c r="I431" s="1"/>
      <c r="J431" s="1"/>
      <c r="K431" s="1"/>
      <c r="L431" s="1"/>
      <c r="M431" s="1"/>
      <c r="N431" s="1"/>
      <c r="O431" s="5"/>
      <c r="P431" s="5"/>
      <c r="Q431" s="5"/>
      <c r="R431" s="1"/>
      <c r="S431" s="1"/>
      <c r="T431" s="1"/>
      <c r="U431" s="1"/>
      <c r="V431" s="1"/>
      <c r="W431" s="1"/>
      <c r="X431" s="1"/>
      <c r="Y431" s="1"/>
      <c r="Z431" s="1"/>
      <c r="AA431" s="1"/>
      <c r="AB431" s="1"/>
      <c r="AC431" s="1"/>
      <c r="AD431" s="1"/>
      <c r="AE431" s="1"/>
    </row>
    <row r="432" spans="1:31" x14ac:dyDescent="0.25">
      <c r="A432" s="1"/>
      <c r="B432" s="1"/>
      <c r="C432" s="5"/>
      <c r="D432" s="5"/>
      <c r="E432" s="1"/>
      <c r="F432" s="1"/>
      <c r="G432" s="1"/>
      <c r="H432" s="1"/>
      <c r="I432" s="1"/>
      <c r="J432" s="1"/>
      <c r="K432" s="1"/>
      <c r="L432" s="1"/>
      <c r="M432" s="1"/>
      <c r="N432" s="1"/>
      <c r="O432" s="5"/>
      <c r="P432" s="5"/>
      <c r="Q432" s="5"/>
      <c r="R432" s="1"/>
      <c r="S432" s="1"/>
      <c r="T432" s="1"/>
      <c r="U432" s="1"/>
      <c r="V432" s="1"/>
      <c r="W432" s="1"/>
      <c r="X432" s="1"/>
      <c r="Y432" s="1"/>
      <c r="Z432" s="1"/>
      <c r="AA432" s="1"/>
      <c r="AB432" s="1"/>
      <c r="AC432" s="1"/>
      <c r="AD432" s="1"/>
      <c r="AE432" s="1"/>
    </row>
    <row r="433" spans="1:31" x14ac:dyDescent="0.25">
      <c r="A433" s="1"/>
      <c r="B433" s="1"/>
      <c r="C433" s="5"/>
      <c r="D433" s="5"/>
      <c r="E433" s="1"/>
      <c r="F433" s="1"/>
      <c r="G433" s="1"/>
      <c r="H433" s="1"/>
      <c r="I433" s="1"/>
      <c r="J433" s="1"/>
      <c r="K433" s="1"/>
      <c r="L433" s="1"/>
      <c r="M433" s="1"/>
      <c r="N433" s="1"/>
      <c r="O433" s="5"/>
      <c r="P433" s="5"/>
      <c r="Q433" s="5"/>
      <c r="R433" s="1"/>
      <c r="S433" s="1"/>
      <c r="T433" s="1"/>
      <c r="U433" s="1"/>
      <c r="V433" s="1"/>
      <c r="W433" s="1"/>
      <c r="X433" s="1"/>
      <c r="Y433" s="1"/>
      <c r="Z433" s="1"/>
      <c r="AA433" s="1"/>
      <c r="AB433" s="1"/>
      <c r="AC433" s="1"/>
      <c r="AD433" s="1"/>
      <c r="AE433" s="1"/>
    </row>
    <row r="434" spans="1:31" x14ac:dyDescent="0.25">
      <c r="A434" s="1"/>
      <c r="B434" s="1"/>
      <c r="C434" s="5"/>
      <c r="D434" s="5"/>
      <c r="E434" s="1"/>
      <c r="F434" s="1"/>
      <c r="G434" s="1"/>
      <c r="H434" s="1"/>
      <c r="I434" s="1"/>
      <c r="J434" s="1"/>
      <c r="K434" s="1"/>
      <c r="L434" s="1"/>
      <c r="M434" s="1"/>
      <c r="N434" s="1"/>
      <c r="O434" s="5"/>
      <c r="P434" s="5"/>
      <c r="Q434" s="5"/>
      <c r="R434" s="1"/>
      <c r="S434" s="1"/>
      <c r="T434" s="1"/>
      <c r="U434" s="1"/>
      <c r="V434" s="1"/>
      <c r="W434" s="1"/>
      <c r="X434" s="1"/>
      <c r="Y434" s="1"/>
      <c r="Z434" s="1"/>
      <c r="AA434" s="1"/>
      <c r="AB434" s="1"/>
      <c r="AC434" s="1"/>
      <c r="AD434" s="1"/>
      <c r="AE434" s="1"/>
    </row>
    <row r="435" spans="1:31" x14ac:dyDescent="0.25">
      <c r="A435" s="1"/>
      <c r="B435" s="1"/>
      <c r="C435" s="5"/>
      <c r="D435" s="5"/>
      <c r="E435" s="1"/>
      <c r="F435" s="1"/>
      <c r="G435" s="1"/>
      <c r="H435" s="1"/>
      <c r="I435" s="1"/>
      <c r="J435" s="1"/>
      <c r="K435" s="1"/>
      <c r="L435" s="1"/>
      <c r="M435" s="1"/>
      <c r="N435" s="1"/>
      <c r="O435" s="5"/>
      <c r="P435" s="5"/>
      <c r="Q435" s="5"/>
      <c r="R435" s="1"/>
      <c r="S435" s="1"/>
      <c r="T435" s="1"/>
      <c r="U435" s="1"/>
      <c r="V435" s="1"/>
      <c r="W435" s="1"/>
      <c r="X435" s="1"/>
      <c r="Y435" s="1"/>
      <c r="Z435" s="1"/>
      <c r="AA435" s="1"/>
      <c r="AB435" s="1"/>
      <c r="AC435" s="1"/>
      <c r="AD435" s="1"/>
      <c r="AE435" s="1"/>
    </row>
    <row r="436" spans="1:31" x14ac:dyDescent="0.25">
      <c r="A436" s="1"/>
      <c r="B436" s="1"/>
      <c r="C436" s="5"/>
      <c r="D436" s="5"/>
      <c r="E436" s="1"/>
      <c r="F436" s="1"/>
      <c r="G436" s="1"/>
      <c r="H436" s="1"/>
      <c r="I436" s="1"/>
      <c r="J436" s="1"/>
      <c r="K436" s="1"/>
      <c r="L436" s="1"/>
      <c r="M436" s="1"/>
      <c r="N436" s="1"/>
      <c r="O436" s="5"/>
      <c r="P436" s="5"/>
      <c r="Q436" s="5"/>
      <c r="R436" s="1"/>
      <c r="S436" s="1"/>
      <c r="T436" s="1"/>
      <c r="U436" s="1"/>
      <c r="V436" s="1"/>
      <c r="W436" s="1"/>
      <c r="X436" s="1"/>
      <c r="Y436" s="1"/>
      <c r="Z436" s="1"/>
      <c r="AA436" s="1"/>
      <c r="AB436" s="1"/>
      <c r="AC436" s="1"/>
      <c r="AD436" s="1"/>
      <c r="AE436" s="1"/>
    </row>
    <row r="437" spans="1:31" x14ac:dyDescent="0.25">
      <c r="A437" s="1"/>
      <c r="B437" s="1"/>
      <c r="C437" s="5"/>
      <c r="D437" s="5"/>
      <c r="E437" s="1"/>
      <c r="F437" s="1"/>
      <c r="G437" s="1"/>
      <c r="H437" s="1"/>
      <c r="I437" s="1"/>
      <c r="J437" s="1"/>
      <c r="K437" s="1"/>
      <c r="L437" s="1"/>
      <c r="M437" s="1"/>
      <c r="N437" s="1"/>
      <c r="O437" s="5"/>
      <c r="P437" s="5"/>
      <c r="Q437" s="5"/>
      <c r="R437" s="1"/>
      <c r="S437" s="1"/>
      <c r="T437" s="1"/>
      <c r="U437" s="1"/>
      <c r="V437" s="1"/>
      <c r="W437" s="1"/>
      <c r="X437" s="1"/>
      <c r="Y437" s="1"/>
      <c r="Z437" s="1"/>
      <c r="AA437" s="1"/>
      <c r="AB437" s="1"/>
      <c r="AC437" s="1"/>
      <c r="AD437" s="1"/>
      <c r="AE437" s="1"/>
    </row>
    <row r="438" spans="1:31" x14ac:dyDescent="0.25">
      <c r="A438" s="1"/>
      <c r="B438" s="1"/>
      <c r="C438" s="5"/>
      <c r="D438" s="5"/>
      <c r="E438" s="1"/>
      <c r="F438" s="1"/>
      <c r="G438" s="1"/>
      <c r="H438" s="1"/>
      <c r="I438" s="1"/>
      <c r="J438" s="1"/>
      <c r="K438" s="1"/>
      <c r="L438" s="1"/>
      <c r="M438" s="1"/>
      <c r="N438" s="1"/>
      <c r="O438" s="5"/>
      <c r="P438" s="5"/>
      <c r="Q438" s="5"/>
      <c r="R438" s="1"/>
      <c r="S438" s="1"/>
      <c r="T438" s="1"/>
      <c r="U438" s="1"/>
      <c r="V438" s="1"/>
      <c r="W438" s="1"/>
      <c r="X438" s="1"/>
      <c r="Y438" s="1"/>
      <c r="Z438" s="1"/>
      <c r="AA438" s="1"/>
      <c r="AB438" s="1"/>
      <c r="AC438" s="1"/>
      <c r="AD438" s="1"/>
      <c r="AE438" s="1"/>
    </row>
    <row r="439" spans="1:31" x14ac:dyDescent="0.25">
      <c r="A439" s="1"/>
      <c r="B439" s="1"/>
      <c r="C439" s="5"/>
      <c r="D439" s="5"/>
      <c r="E439" s="1"/>
      <c r="F439" s="1"/>
      <c r="G439" s="1"/>
      <c r="H439" s="1"/>
      <c r="I439" s="1"/>
      <c r="J439" s="1"/>
      <c r="K439" s="1"/>
      <c r="L439" s="1"/>
      <c r="M439" s="1"/>
      <c r="N439" s="1"/>
      <c r="O439" s="5"/>
      <c r="P439" s="5"/>
      <c r="Q439" s="5"/>
      <c r="R439" s="1"/>
      <c r="S439" s="1"/>
      <c r="T439" s="1"/>
      <c r="U439" s="1"/>
      <c r="V439" s="1"/>
      <c r="W439" s="1"/>
      <c r="X439" s="1"/>
      <c r="Y439" s="1"/>
      <c r="Z439" s="1"/>
      <c r="AA439" s="1"/>
      <c r="AB439" s="1"/>
      <c r="AC439" s="1"/>
      <c r="AD439" s="1"/>
      <c r="AE439" s="1"/>
    </row>
    <row r="440" spans="1:31" x14ac:dyDescent="0.25">
      <c r="A440" s="1"/>
      <c r="B440" s="1"/>
      <c r="C440" s="5"/>
      <c r="D440" s="5"/>
      <c r="E440" s="1"/>
      <c r="F440" s="1"/>
      <c r="G440" s="1"/>
      <c r="H440" s="1"/>
      <c r="I440" s="1"/>
      <c r="J440" s="1"/>
      <c r="K440" s="1"/>
      <c r="L440" s="1"/>
      <c r="M440" s="1"/>
      <c r="N440" s="1"/>
      <c r="O440" s="5"/>
      <c r="P440" s="5"/>
      <c r="Q440" s="5"/>
      <c r="R440" s="1"/>
      <c r="S440" s="1"/>
      <c r="T440" s="1"/>
      <c r="U440" s="1"/>
      <c r="V440" s="1"/>
      <c r="W440" s="1"/>
      <c r="X440" s="1"/>
      <c r="Y440" s="1"/>
      <c r="Z440" s="1"/>
      <c r="AA440" s="1"/>
      <c r="AB440" s="1"/>
      <c r="AC440" s="1"/>
      <c r="AD440" s="1"/>
      <c r="AE440" s="1"/>
    </row>
    <row r="441" spans="1:31" x14ac:dyDescent="0.25">
      <c r="A441" s="1"/>
      <c r="B441" s="1"/>
      <c r="C441" s="5"/>
      <c r="D441" s="5"/>
      <c r="E441" s="1"/>
      <c r="F441" s="1"/>
      <c r="G441" s="1"/>
      <c r="H441" s="1"/>
      <c r="I441" s="1"/>
      <c r="J441" s="1"/>
      <c r="K441" s="1"/>
      <c r="L441" s="1"/>
      <c r="M441" s="1"/>
      <c r="N441" s="1"/>
      <c r="O441" s="5"/>
      <c r="P441" s="5"/>
      <c r="Q441" s="5"/>
      <c r="R441" s="1"/>
      <c r="S441" s="1"/>
      <c r="T441" s="1"/>
      <c r="U441" s="1"/>
      <c r="V441" s="1"/>
      <c r="W441" s="1"/>
      <c r="X441" s="1"/>
      <c r="Y441" s="1"/>
      <c r="Z441" s="1"/>
      <c r="AA441" s="1"/>
      <c r="AB441" s="1"/>
      <c r="AC441" s="1"/>
      <c r="AD441" s="1"/>
      <c r="AE441" s="1"/>
    </row>
    <row r="442" spans="1:31" x14ac:dyDescent="0.25">
      <c r="A442" s="1"/>
      <c r="B442" s="1"/>
      <c r="C442" s="5"/>
      <c r="D442" s="5"/>
      <c r="E442" s="1"/>
      <c r="F442" s="1"/>
      <c r="G442" s="1"/>
      <c r="H442" s="1"/>
      <c r="I442" s="1"/>
      <c r="J442" s="1"/>
      <c r="K442" s="1"/>
      <c r="L442" s="1"/>
      <c r="M442" s="1"/>
      <c r="N442" s="1"/>
      <c r="O442" s="5"/>
      <c r="P442" s="5"/>
      <c r="Q442" s="5"/>
      <c r="R442" s="1"/>
      <c r="S442" s="1"/>
      <c r="T442" s="1"/>
      <c r="U442" s="1"/>
      <c r="V442" s="1"/>
      <c r="W442" s="1"/>
      <c r="X442" s="1"/>
      <c r="Y442" s="1"/>
      <c r="Z442" s="1"/>
      <c r="AA442" s="1"/>
      <c r="AB442" s="1"/>
      <c r="AC442" s="1"/>
      <c r="AD442" s="1"/>
      <c r="AE442" s="1"/>
    </row>
    <row r="443" spans="1:31" x14ac:dyDescent="0.25">
      <c r="A443" s="1"/>
      <c r="B443" s="1"/>
      <c r="C443" s="5"/>
      <c r="D443" s="5"/>
      <c r="E443" s="1"/>
      <c r="F443" s="1"/>
      <c r="G443" s="1"/>
      <c r="H443" s="1"/>
      <c r="I443" s="1"/>
      <c r="J443" s="1"/>
      <c r="K443" s="1"/>
      <c r="L443" s="1"/>
      <c r="M443" s="1"/>
      <c r="N443" s="1"/>
      <c r="O443" s="5"/>
      <c r="P443" s="5"/>
      <c r="Q443" s="5"/>
      <c r="R443" s="1"/>
      <c r="S443" s="1"/>
      <c r="T443" s="1"/>
      <c r="U443" s="1"/>
      <c r="V443" s="1"/>
      <c r="W443" s="1"/>
      <c r="X443" s="1"/>
      <c r="Y443" s="1"/>
      <c r="Z443" s="1"/>
      <c r="AA443" s="1"/>
      <c r="AB443" s="1"/>
      <c r="AC443" s="1"/>
      <c r="AD443" s="1"/>
      <c r="AE443" s="1"/>
    </row>
    <row r="444" spans="1:31" x14ac:dyDescent="0.25">
      <c r="A444" s="1"/>
      <c r="B444" s="1"/>
      <c r="C444" s="5"/>
      <c r="D444" s="5"/>
      <c r="E444" s="1"/>
      <c r="F444" s="1"/>
      <c r="G444" s="1"/>
      <c r="H444" s="1"/>
      <c r="I444" s="1"/>
      <c r="J444" s="1"/>
      <c r="K444" s="1"/>
      <c r="L444" s="1"/>
      <c r="M444" s="1"/>
      <c r="N444" s="1"/>
      <c r="O444" s="5"/>
      <c r="P444" s="5"/>
      <c r="Q444" s="5"/>
      <c r="R444" s="1"/>
      <c r="S444" s="1"/>
      <c r="T444" s="1"/>
      <c r="U444" s="1"/>
      <c r="V444" s="1"/>
      <c r="W444" s="1"/>
      <c r="X444" s="1"/>
      <c r="Y444" s="1"/>
      <c r="Z444" s="1"/>
      <c r="AA444" s="1"/>
      <c r="AB444" s="1"/>
      <c r="AC444" s="1"/>
      <c r="AD444" s="1"/>
      <c r="AE444" s="1"/>
    </row>
    <row r="445" spans="1:31" x14ac:dyDescent="0.25">
      <c r="A445" s="1"/>
      <c r="B445" s="1"/>
      <c r="C445" s="5"/>
      <c r="D445" s="5"/>
      <c r="E445" s="1"/>
      <c r="F445" s="1"/>
      <c r="G445" s="1"/>
      <c r="H445" s="1"/>
      <c r="I445" s="1"/>
      <c r="J445" s="1"/>
      <c r="K445" s="1"/>
      <c r="L445" s="1"/>
      <c r="M445" s="1"/>
      <c r="N445" s="1"/>
      <c r="O445" s="5"/>
      <c r="P445" s="5"/>
      <c r="Q445" s="5"/>
      <c r="R445" s="1"/>
      <c r="S445" s="1"/>
      <c r="T445" s="1"/>
      <c r="U445" s="1"/>
      <c r="V445" s="1"/>
      <c r="W445" s="1"/>
      <c r="X445" s="1"/>
      <c r="Y445" s="1"/>
      <c r="Z445" s="1"/>
      <c r="AA445" s="1"/>
      <c r="AB445" s="1"/>
      <c r="AC445" s="1"/>
      <c r="AD445" s="1"/>
      <c r="AE445" s="1"/>
    </row>
    <row r="446" spans="1:31" x14ac:dyDescent="0.25">
      <c r="A446" s="1"/>
      <c r="B446" s="1"/>
      <c r="C446" s="5"/>
      <c r="D446" s="5"/>
      <c r="E446" s="1"/>
      <c r="F446" s="1"/>
      <c r="G446" s="1"/>
      <c r="H446" s="1"/>
      <c r="I446" s="1"/>
      <c r="J446" s="1"/>
      <c r="K446" s="1"/>
      <c r="L446" s="1"/>
      <c r="M446" s="1"/>
      <c r="N446" s="1"/>
      <c r="O446" s="5"/>
      <c r="P446" s="5"/>
      <c r="Q446" s="5"/>
      <c r="R446" s="1"/>
      <c r="S446" s="1"/>
      <c r="T446" s="1"/>
      <c r="U446" s="1"/>
      <c r="V446" s="1"/>
      <c r="W446" s="1"/>
      <c r="X446" s="1"/>
      <c r="Y446" s="1"/>
      <c r="Z446" s="1"/>
      <c r="AA446" s="1"/>
      <c r="AB446" s="1"/>
      <c r="AC446" s="1"/>
      <c r="AD446" s="1"/>
      <c r="AE446" s="1"/>
    </row>
    <row r="447" spans="1:31" x14ac:dyDescent="0.25">
      <c r="A447" s="1"/>
      <c r="B447" s="1"/>
      <c r="C447" s="5"/>
      <c r="D447" s="5"/>
      <c r="E447" s="1"/>
      <c r="F447" s="1"/>
      <c r="G447" s="1"/>
      <c r="H447" s="1"/>
      <c r="I447" s="1"/>
      <c r="J447" s="1"/>
      <c r="K447" s="1"/>
      <c r="L447" s="1"/>
      <c r="M447" s="1"/>
      <c r="N447" s="1"/>
      <c r="O447" s="5"/>
      <c r="P447" s="5"/>
      <c r="Q447" s="5"/>
      <c r="R447" s="1"/>
      <c r="S447" s="1"/>
      <c r="T447" s="1"/>
      <c r="U447" s="1"/>
      <c r="V447" s="1"/>
      <c r="W447" s="1"/>
      <c r="X447" s="1"/>
      <c r="Y447" s="1"/>
      <c r="Z447" s="1"/>
      <c r="AA447" s="1"/>
      <c r="AB447" s="1"/>
      <c r="AC447" s="1"/>
      <c r="AD447" s="1"/>
      <c r="AE447" s="1"/>
    </row>
    <row r="448" spans="1:31" x14ac:dyDescent="0.25">
      <c r="A448" s="1"/>
      <c r="B448" s="1"/>
      <c r="C448" s="5"/>
      <c r="D448" s="5"/>
      <c r="E448" s="1"/>
      <c r="F448" s="1"/>
      <c r="G448" s="1"/>
      <c r="H448" s="1"/>
      <c r="I448" s="1"/>
      <c r="J448" s="1"/>
      <c r="K448" s="1"/>
      <c r="L448" s="1"/>
      <c r="M448" s="1"/>
      <c r="N448" s="1"/>
      <c r="O448" s="5"/>
      <c r="P448" s="5"/>
      <c r="Q448" s="5"/>
      <c r="R448" s="1"/>
      <c r="S448" s="1"/>
      <c r="T448" s="1"/>
      <c r="U448" s="1"/>
      <c r="V448" s="1"/>
      <c r="W448" s="1"/>
      <c r="X448" s="1"/>
      <c r="Y448" s="1"/>
      <c r="Z448" s="1"/>
      <c r="AA448" s="1"/>
      <c r="AB448" s="1"/>
      <c r="AC448" s="1"/>
      <c r="AD448" s="1"/>
      <c r="AE448" s="1"/>
    </row>
    <row r="449" spans="1:31" x14ac:dyDescent="0.25">
      <c r="A449" s="1"/>
      <c r="B449" s="1"/>
      <c r="C449" s="5"/>
      <c r="D449" s="5"/>
      <c r="E449" s="1"/>
      <c r="F449" s="1"/>
      <c r="G449" s="1"/>
      <c r="H449" s="1"/>
      <c r="I449" s="1"/>
      <c r="J449" s="1"/>
      <c r="K449" s="1"/>
      <c r="L449" s="1"/>
      <c r="M449" s="1"/>
      <c r="N449" s="1"/>
      <c r="O449" s="5"/>
      <c r="P449" s="5"/>
      <c r="Q449" s="5"/>
      <c r="R449" s="1"/>
      <c r="S449" s="1"/>
      <c r="T449" s="1"/>
      <c r="U449" s="1"/>
      <c r="V449" s="1"/>
      <c r="W449" s="1"/>
      <c r="X449" s="1"/>
      <c r="Y449" s="1"/>
      <c r="Z449" s="1"/>
      <c r="AA449" s="1"/>
      <c r="AB449" s="1"/>
      <c r="AC449" s="1"/>
      <c r="AD449" s="1"/>
      <c r="AE449" s="1"/>
    </row>
    <row r="450" spans="1:31" x14ac:dyDescent="0.25">
      <c r="A450" s="1"/>
      <c r="B450" s="1"/>
      <c r="C450" s="5"/>
      <c r="D450" s="5"/>
      <c r="E450" s="1"/>
      <c r="F450" s="1"/>
      <c r="G450" s="1"/>
      <c r="H450" s="1"/>
      <c r="I450" s="1"/>
      <c r="J450" s="1"/>
      <c r="K450" s="1"/>
      <c r="L450" s="1"/>
      <c r="M450" s="1"/>
      <c r="N450" s="1"/>
      <c r="O450" s="5"/>
      <c r="P450" s="5"/>
      <c r="Q450" s="5"/>
      <c r="R450" s="1"/>
      <c r="S450" s="1"/>
      <c r="T450" s="1"/>
      <c r="U450" s="1"/>
      <c r="V450" s="1"/>
      <c r="W450" s="1"/>
      <c r="X450" s="1"/>
      <c r="Y450" s="1"/>
      <c r="Z450" s="1"/>
      <c r="AA450" s="1"/>
      <c r="AB450" s="1"/>
      <c r="AC450" s="1"/>
      <c r="AD450" s="1"/>
      <c r="AE450" s="1"/>
    </row>
    <row r="451" spans="1:31" x14ac:dyDescent="0.25">
      <c r="A451" s="1"/>
      <c r="B451" s="1"/>
      <c r="C451" s="5"/>
      <c r="D451" s="5"/>
      <c r="E451" s="1"/>
      <c r="F451" s="1"/>
      <c r="G451" s="1"/>
      <c r="H451" s="1"/>
      <c r="I451" s="1"/>
      <c r="J451" s="1"/>
      <c r="K451" s="1"/>
      <c r="L451" s="1"/>
      <c r="M451" s="1"/>
      <c r="N451" s="1"/>
      <c r="O451" s="5"/>
      <c r="P451" s="5"/>
      <c r="Q451" s="5"/>
      <c r="R451" s="1"/>
      <c r="S451" s="1"/>
      <c r="T451" s="1"/>
      <c r="U451" s="1"/>
      <c r="V451" s="1"/>
      <c r="W451" s="1"/>
      <c r="X451" s="1"/>
      <c r="Y451" s="1"/>
      <c r="Z451" s="1"/>
      <c r="AA451" s="1"/>
      <c r="AB451" s="1"/>
      <c r="AC451" s="1"/>
      <c r="AD451" s="1"/>
      <c r="AE451" s="1"/>
    </row>
    <row r="452" spans="1:31" x14ac:dyDescent="0.25">
      <c r="A452" s="1"/>
      <c r="B452" s="1"/>
      <c r="C452" s="5"/>
      <c r="D452" s="5"/>
      <c r="E452" s="1"/>
      <c r="F452" s="1"/>
      <c r="G452" s="1"/>
      <c r="H452" s="1"/>
      <c r="I452" s="1"/>
      <c r="J452" s="1"/>
      <c r="K452" s="1"/>
      <c r="L452" s="1"/>
      <c r="M452" s="1"/>
      <c r="N452" s="1"/>
      <c r="O452" s="5"/>
      <c r="P452" s="5"/>
      <c r="Q452" s="5"/>
      <c r="R452" s="1"/>
      <c r="S452" s="1"/>
      <c r="T452" s="1"/>
      <c r="U452" s="1"/>
      <c r="V452" s="1"/>
      <c r="W452" s="1"/>
      <c r="X452" s="1"/>
      <c r="Y452" s="1"/>
      <c r="Z452" s="1"/>
      <c r="AA452" s="1"/>
      <c r="AB452" s="1"/>
      <c r="AC452" s="1"/>
      <c r="AD452" s="1"/>
      <c r="AE452" s="1"/>
    </row>
    <row r="453" spans="1:31" x14ac:dyDescent="0.25">
      <c r="A453" s="1"/>
      <c r="B453" s="1"/>
      <c r="C453" s="5"/>
      <c r="D453" s="5"/>
      <c r="E453" s="1"/>
      <c r="F453" s="1"/>
      <c r="G453" s="1"/>
      <c r="H453" s="1"/>
      <c r="I453" s="1"/>
      <c r="J453" s="1"/>
      <c r="K453" s="1"/>
      <c r="L453" s="1"/>
      <c r="M453" s="1"/>
      <c r="N453" s="1"/>
      <c r="O453" s="5"/>
      <c r="P453" s="5"/>
      <c r="Q453" s="5"/>
      <c r="R453" s="1"/>
      <c r="S453" s="1"/>
      <c r="T453" s="1"/>
      <c r="U453" s="1"/>
      <c r="V453" s="1"/>
      <c r="W453" s="1"/>
      <c r="X453" s="1"/>
      <c r="Y453" s="1"/>
      <c r="Z453" s="1"/>
      <c r="AA453" s="1"/>
      <c r="AB453" s="1"/>
      <c r="AC453" s="1"/>
      <c r="AD453" s="1"/>
      <c r="AE453" s="1"/>
    </row>
    <row r="454" spans="1:31" x14ac:dyDescent="0.25">
      <c r="A454" s="1"/>
      <c r="B454" s="1"/>
      <c r="C454" s="5"/>
      <c r="D454" s="5"/>
      <c r="E454" s="1"/>
      <c r="F454" s="1"/>
      <c r="G454" s="1"/>
      <c r="H454" s="1"/>
      <c r="I454" s="1"/>
      <c r="J454" s="1"/>
      <c r="K454" s="1"/>
      <c r="L454" s="1"/>
      <c r="M454" s="1"/>
      <c r="N454" s="1"/>
      <c r="O454" s="5"/>
      <c r="P454" s="5"/>
      <c r="Q454" s="5"/>
      <c r="R454" s="1"/>
      <c r="S454" s="1"/>
      <c r="T454" s="1"/>
      <c r="U454" s="1"/>
      <c r="V454" s="1"/>
      <c r="W454" s="1"/>
      <c r="X454" s="1"/>
      <c r="Y454" s="1"/>
      <c r="Z454" s="1"/>
      <c r="AA454" s="1"/>
      <c r="AB454" s="1"/>
      <c r="AC454" s="1"/>
      <c r="AD454" s="1"/>
      <c r="AE454" s="1"/>
    </row>
    <row r="455" spans="1:31" x14ac:dyDescent="0.25">
      <c r="A455" s="1"/>
      <c r="B455" s="1"/>
      <c r="C455" s="5"/>
      <c r="D455" s="5"/>
      <c r="E455" s="1"/>
      <c r="F455" s="1"/>
      <c r="G455" s="1"/>
      <c r="H455" s="1"/>
      <c r="I455" s="1"/>
      <c r="J455" s="1"/>
      <c r="K455" s="1"/>
      <c r="L455" s="1"/>
      <c r="M455" s="1"/>
      <c r="N455" s="1"/>
      <c r="O455" s="5"/>
      <c r="P455" s="5"/>
      <c r="Q455" s="5"/>
      <c r="R455" s="1"/>
      <c r="S455" s="1"/>
      <c r="T455" s="1"/>
      <c r="U455" s="1"/>
      <c r="V455" s="1"/>
      <c r="W455" s="1"/>
      <c r="X455" s="1"/>
      <c r="Y455" s="1"/>
      <c r="Z455" s="1"/>
      <c r="AA455" s="1"/>
      <c r="AB455" s="1"/>
      <c r="AC455" s="1"/>
      <c r="AD455" s="1"/>
      <c r="AE455" s="1"/>
    </row>
    <row r="456" spans="1:31" x14ac:dyDescent="0.25">
      <c r="A456" s="1"/>
      <c r="B456" s="1"/>
      <c r="C456" s="5"/>
      <c r="D456" s="5"/>
      <c r="E456" s="1"/>
      <c r="F456" s="1"/>
      <c r="G456" s="1"/>
      <c r="H456" s="1"/>
      <c r="I456" s="1"/>
      <c r="J456" s="1"/>
      <c r="K456" s="1"/>
      <c r="L456" s="1"/>
      <c r="M456" s="1"/>
      <c r="N456" s="1"/>
      <c r="O456" s="5"/>
      <c r="P456" s="5"/>
      <c r="Q456" s="5"/>
      <c r="R456" s="1"/>
      <c r="S456" s="1"/>
      <c r="T456" s="1"/>
      <c r="U456" s="1"/>
      <c r="V456" s="1"/>
      <c r="W456" s="1"/>
      <c r="X456" s="1"/>
      <c r="Y456" s="1"/>
      <c r="Z456" s="1"/>
      <c r="AA456" s="1"/>
      <c r="AB456" s="1"/>
      <c r="AC456" s="1"/>
      <c r="AD456" s="1"/>
      <c r="AE456" s="1"/>
    </row>
    <row r="457" spans="1:31" x14ac:dyDescent="0.25">
      <c r="A457" s="1"/>
      <c r="B457" s="1"/>
      <c r="C457" s="5"/>
      <c r="D457" s="5"/>
      <c r="E457" s="1"/>
      <c r="F457" s="1"/>
      <c r="G457" s="1"/>
      <c r="H457" s="1"/>
      <c r="I457" s="1"/>
      <c r="J457" s="1"/>
      <c r="K457" s="1"/>
      <c r="L457" s="1"/>
      <c r="M457" s="1"/>
      <c r="N457" s="1"/>
      <c r="O457" s="5"/>
      <c r="P457" s="5"/>
      <c r="Q457" s="5"/>
      <c r="R457" s="1"/>
      <c r="S457" s="1"/>
      <c r="T457" s="1"/>
      <c r="U457" s="1"/>
      <c r="V457" s="1"/>
      <c r="W457" s="1"/>
      <c r="X457" s="1"/>
      <c r="Y457" s="1"/>
      <c r="Z457" s="1"/>
      <c r="AA457" s="1"/>
      <c r="AB457" s="1"/>
      <c r="AC457" s="1"/>
      <c r="AD457" s="1"/>
      <c r="AE457" s="1"/>
    </row>
    <row r="458" spans="1:31" x14ac:dyDescent="0.25">
      <c r="A458" s="1"/>
      <c r="B458" s="1"/>
      <c r="C458" s="5"/>
      <c r="D458" s="5"/>
      <c r="E458" s="1"/>
      <c r="F458" s="1"/>
      <c r="G458" s="1"/>
      <c r="H458" s="1"/>
      <c r="I458" s="1"/>
      <c r="J458" s="1"/>
      <c r="K458" s="1"/>
      <c r="L458" s="1"/>
      <c r="M458" s="1"/>
      <c r="N458" s="1"/>
      <c r="O458" s="5"/>
      <c r="P458" s="5"/>
      <c r="Q458" s="5"/>
      <c r="R458" s="1"/>
      <c r="S458" s="1"/>
      <c r="T458" s="1"/>
      <c r="U458" s="1"/>
      <c r="V458" s="1"/>
      <c r="W458" s="1"/>
      <c r="X458" s="1"/>
      <c r="Y458" s="1"/>
      <c r="Z458" s="1"/>
      <c r="AA458" s="1"/>
      <c r="AB458" s="1"/>
      <c r="AC458" s="1"/>
      <c r="AD458" s="1"/>
      <c r="AE458" s="1"/>
    </row>
    <row r="459" spans="1:31" x14ac:dyDescent="0.25">
      <c r="A459" s="1"/>
      <c r="B459" s="1"/>
      <c r="C459" s="5"/>
      <c r="D459" s="5"/>
      <c r="E459" s="1"/>
      <c r="F459" s="1"/>
      <c r="G459" s="1"/>
      <c r="H459" s="1"/>
      <c r="I459" s="1"/>
      <c r="J459" s="1"/>
      <c r="K459" s="1"/>
      <c r="L459" s="1"/>
      <c r="M459" s="1"/>
      <c r="N459" s="1"/>
      <c r="O459" s="5"/>
      <c r="P459" s="5"/>
      <c r="Q459" s="5"/>
      <c r="R459" s="1"/>
      <c r="S459" s="1"/>
      <c r="T459" s="1"/>
      <c r="U459" s="1"/>
      <c r="V459" s="1"/>
      <c r="W459" s="1"/>
      <c r="X459" s="1"/>
      <c r="Y459" s="1"/>
      <c r="Z459" s="1"/>
      <c r="AA459" s="1"/>
      <c r="AB459" s="1"/>
      <c r="AC459" s="1"/>
      <c r="AD459" s="1"/>
      <c r="AE459" s="1"/>
    </row>
    <row r="460" spans="1:31" x14ac:dyDescent="0.25">
      <c r="A460" s="1"/>
      <c r="B460" s="1"/>
      <c r="C460" s="5"/>
      <c r="D460" s="5"/>
      <c r="E460" s="1"/>
      <c r="F460" s="1"/>
      <c r="G460" s="1"/>
      <c r="H460" s="1"/>
      <c r="I460" s="1"/>
      <c r="J460" s="1"/>
      <c r="K460" s="1"/>
      <c r="L460" s="1"/>
      <c r="M460" s="1"/>
      <c r="N460" s="1"/>
      <c r="O460" s="5"/>
      <c r="P460" s="5"/>
      <c r="Q460" s="5"/>
      <c r="R460" s="1"/>
      <c r="S460" s="1"/>
      <c r="T460" s="1"/>
      <c r="U460" s="1"/>
      <c r="V460" s="1"/>
      <c r="W460" s="1"/>
      <c r="X460" s="1"/>
      <c r="Y460" s="1"/>
      <c r="Z460" s="1"/>
      <c r="AA460" s="1"/>
      <c r="AB460" s="1"/>
      <c r="AC460" s="1"/>
      <c r="AD460" s="1"/>
      <c r="AE460" s="1"/>
    </row>
    <row r="461" spans="1:31" x14ac:dyDescent="0.25">
      <c r="A461" s="1"/>
      <c r="B461" s="1"/>
      <c r="C461" s="5"/>
      <c r="D461" s="5"/>
      <c r="E461" s="1"/>
      <c r="F461" s="1"/>
      <c r="G461" s="1"/>
      <c r="H461" s="1"/>
      <c r="I461" s="1"/>
      <c r="J461" s="1"/>
      <c r="K461" s="1"/>
      <c r="L461" s="1"/>
      <c r="M461" s="1"/>
      <c r="N461" s="1"/>
      <c r="O461" s="5"/>
      <c r="P461" s="5"/>
      <c r="Q461" s="5"/>
      <c r="R461" s="1"/>
      <c r="S461" s="1"/>
      <c r="T461" s="1"/>
      <c r="U461" s="1"/>
      <c r="V461" s="1"/>
      <c r="W461" s="1"/>
      <c r="X461" s="1"/>
      <c r="Y461" s="1"/>
      <c r="Z461" s="1"/>
      <c r="AA461" s="1"/>
      <c r="AB461" s="1"/>
      <c r="AC461" s="1"/>
      <c r="AD461" s="1"/>
      <c r="AE461" s="1"/>
    </row>
    <row r="462" spans="1:31" x14ac:dyDescent="0.25">
      <c r="A462" s="1"/>
      <c r="B462" s="1"/>
      <c r="C462" s="5"/>
      <c r="D462" s="5"/>
      <c r="E462" s="1"/>
      <c r="F462" s="1"/>
      <c r="G462" s="1"/>
      <c r="H462" s="1"/>
      <c r="I462" s="1"/>
      <c r="J462" s="1"/>
      <c r="K462" s="1"/>
      <c r="L462" s="1"/>
      <c r="M462" s="1"/>
      <c r="N462" s="1"/>
      <c r="O462" s="5"/>
      <c r="P462" s="5"/>
      <c r="Q462" s="5"/>
      <c r="R462" s="1"/>
      <c r="S462" s="1"/>
      <c r="T462" s="1"/>
      <c r="U462" s="1"/>
      <c r="V462" s="1"/>
      <c r="W462" s="1"/>
      <c r="X462" s="1"/>
      <c r="Y462" s="1"/>
      <c r="Z462" s="1"/>
      <c r="AA462" s="1"/>
      <c r="AB462" s="1"/>
      <c r="AC462" s="1"/>
      <c r="AD462" s="1"/>
      <c r="AE462" s="1"/>
    </row>
    <row r="463" spans="1:31" x14ac:dyDescent="0.25">
      <c r="A463" s="1"/>
      <c r="B463" s="1"/>
      <c r="C463" s="5"/>
      <c r="D463" s="5"/>
      <c r="E463" s="1"/>
      <c r="F463" s="1"/>
      <c r="G463" s="1"/>
      <c r="H463" s="1"/>
      <c r="I463" s="1"/>
      <c r="J463" s="1"/>
      <c r="K463" s="1"/>
      <c r="L463" s="1"/>
      <c r="M463" s="1"/>
      <c r="N463" s="1"/>
      <c r="O463" s="5"/>
      <c r="P463" s="5"/>
      <c r="Q463" s="5"/>
      <c r="R463" s="1"/>
      <c r="S463" s="1"/>
      <c r="T463" s="1"/>
      <c r="U463" s="1"/>
      <c r="V463" s="1"/>
      <c r="W463" s="1"/>
      <c r="X463" s="1"/>
      <c r="Y463" s="1"/>
      <c r="Z463" s="1"/>
      <c r="AA463" s="1"/>
      <c r="AB463" s="1"/>
      <c r="AC463" s="1"/>
      <c r="AD463" s="1"/>
      <c r="AE463" s="1"/>
    </row>
    <row r="464" spans="1:31" x14ac:dyDescent="0.25">
      <c r="A464" s="1"/>
      <c r="B464" s="1"/>
      <c r="C464" s="5"/>
      <c r="D464" s="5"/>
      <c r="E464" s="1"/>
      <c r="F464" s="1"/>
      <c r="G464" s="1"/>
      <c r="H464" s="1"/>
      <c r="I464" s="1"/>
      <c r="J464" s="1"/>
      <c r="K464" s="1"/>
      <c r="L464" s="1"/>
      <c r="M464" s="1"/>
      <c r="N464" s="1"/>
      <c r="O464" s="5"/>
      <c r="P464" s="5"/>
      <c r="Q464" s="5"/>
      <c r="R464" s="1"/>
      <c r="S464" s="1"/>
      <c r="T464" s="1"/>
      <c r="U464" s="1"/>
      <c r="V464" s="1"/>
      <c r="W464" s="1"/>
      <c r="X464" s="1"/>
      <c r="Y464" s="1"/>
      <c r="Z464" s="1"/>
      <c r="AA464" s="1"/>
      <c r="AB464" s="1"/>
      <c r="AC464" s="1"/>
      <c r="AD464" s="1"/>
      <c r="AE464" s="1"/>
    </row>
    <row r="465" spans="1:31" x14ac:dyDescent="0.25">
      <c r="A465" s="1"/>
      <c r="B465" s="1"/>
      <c r="C465" s="5"/>
      <c r="D465" s="5"/>
      <c r="E465" s="1"/>
      <c r="F465" s="1"/>
      <c r="G465" s="1"/>
      <c r="H465" s="1"/>
      <c r="I465" s="1"/>
      <c r="J465" s="1"/>
      <c r="K465" s="1"/>
      <c r="L465" s="1"/>
      <c r="M465" s="1"/>
      <c r="N465" s="1"/>
      <c r="O465" s="5"/>
      <c r="P465" s="5"/>
      <c r="Q465" s="5"/>
      <c r="R465" s="1"/>
      <c r="S465" s="1"/>
      <c r="T465" s="1"/>
      <c r="U465" s="1"/>
      <c r="V465" s="1"/>
      <c r="W465" s="1"/>
      <c r="X465" s="1"/>
      <c r="Y465" s="1"/>
      <c r="Z465" s="1"/>
      <c r="AA465" s="1"/>
      <c r="AB465" s="1"/>
      <c r="AC465" s="1"/>
      <c r="AD465" s="1"/>
      <c r="AE465" s="1"/>
    </row>
    <row r="466" spans="1:31" x14ac:dyDescent="0.25">
      <c r="A466" s="1"/>
      <c r="B466" s="1"/>
      <c r="C466" s="5"/>
      <c r="D466" s="5"/>
      <c r="E466" s="1"/>
      <c r="F466" s="1"/>
      <c r="G466" s="1"/>
      <c r="H466" s="1"/>
      <c r="I466" s="1"/>
      <c r="J466" s="1"/>
      <c r="K466" s="1"/>
      <c r="L466" s="1"/>
      <c r="M466" s="1"/>
      <c r="N466" s="1"/>
      <c r="O466" s="5"/>
      <c r="P466" s="5"/>
      <c r="Q466" s="5"/>
      <c r="R466" s="1"/>
      <c r="S466" s="1"/>
      <c r="T466" s="1"/>
      <c r="U466" s="1"/>
      <c r="V466" s="1"/>
      <c r="W466" s="1"/>
      <c r="X466" s="1"/>
      <c r="Y466" s="1"/>
      <c r="Z466" s="1"/>
      <c r="AA466" s="1"/>
      <c r="AB466" s="1"/>
      <c r="AC466" s="1"/>
      <c r="AD466" s="1"/>
      <c r="AE466" s="1"/>
    </row>
    <row r="467" spans="1:31" x14ac:dyDescent="0.25">
      <c r="A467" s="1"/>
      <c r="B467" s="1"/>
      <c r="C467" s="5"/>
      <c r="D467" s="5"/>
      <c r="E467" s="1"/>
      <c r="F467" s="1"/>
      <c r="G467" s="1"/>
      <c r="H467" s="1"/>
      <c r="I467" s="1"/>
      <c r="J467" s="1"/>
      <c r="K467" s="1"/>
      <c r="L467" s="1"/>
      <c r="M467" s="1"/>
      <c r="N467" s="1"/>
      <c r="O467" s="5"/>
      <c r="P467" s="5"/>
      <c r="Q467" s="5"/>
      <c r="R467" s="1"/>
      <c r="S467" s="1"/>
      <c r="T467" s="1"/>
      <c r="U467" s="1"/>
      <c r="V467" s="1"/>
      <c r="W467" s="1"/>
      <c r="X467" s="1"/>
      <c r="Y467" s="1"/>
      <c r="Z467" s="1"/>
      <c r="AA467" s="1"/>
      <c r="AB467" s="1"/>
      <c r="AC467" s="1"/>
      <c r="AD467" s="1"/>
      <c r="AE467" s="1"/>
    </row>
    <row r="468" spans="1:31" x14ac:dyDescent="0.25">
      <c r="A468" s="1"/>
      <c r="B468" s="1"/>
      <c r="C468" s="5"/>
      <c r="D468" s="5"/>
      <c r="E468" s="1"/>
      <c r="F468" s="1"/>
      <c r="G468" s="1"/>
      <c r="H468" s="1"/>
      <c r="I468" s="1"/>
      <c r="J468" s="1"/>
      <c r="K468" s="1"/>
      <c r="L468" s="1"/>
      <c r="M468" s="1"/>
      <c r="N468" s="1"/>
      <c r="O468" s="5"/>
      <c r="P468" s="5"/>
      <c r="Q468" s="5"/>
      <c r="R468" s="1"/>
      <c r="S468" s="1"/>
      <c r="T468" s="1"/>
      <c r="U468" s="1"/>
      <c r="V468" s="1"/>
      <c r="W468" s="1"/>
      <c r="X468" s="1"/>
      <c r="Y468" s="1"/>
      <c r="Z468" s="1"/>
      <c r="AA468" s="1"/>
      <c r="AB468" s="1"/>
      <c r="AC468" s="1"/>
      <c r="AD468" s="1"/>
      <c r="AE468" s="1"/>
    </row>
    <row r="469" spans="1:31" x14ac:dyDescent="0.25">
      <c r="A469" s="1"/>
      <c r="B469" s="1"/>
      <c r="C469" s="5"/>
      <c r="D469" s="5"/>
      <c r="E469" s="1"/>
      <c r="F469" s="1"/>
      <c r="G469" s="1"/>
      <c r="H469" s="1"/>
      <c r="I469" s="1"/>
      <c r="J469" s="1"/>
      <c r="K469" s="1"/>
      <c r="L469" s="1"/>
      <c r="M469" s="1"/>
      <c r="N469" s="1"/>
      <c r="O469" s="5"/>
      <c r="P469" s="5"/>
      <c r="Q469" s="5"/>
      <c r="R469" s="1"/>
      <c r="S469" s="1"/>
      <c r="T469" s="1"/>
      <c r="U469" s="1"/>
      <c r="V469" s="1"/>
      <c r="W469" s="1"/>
      <c r="X469" s="1"/>
      <c r="Y469" s="1"/>
      <c r="Z469" s="1"/>
      <c r="AA469" s="1"/>
      <c r="AB469" s="1"/>
      <c r="AC469" s="1"/>
      <c r="AD469" s="1"/>
      <c r="AE469" s="1"/>
    </row>
    <row r="470" spans="1:31" x14ac:dyDescent="0.25">
      <c r="A470" s="1"/>
      <c r="B470" s="1"/>
      <c r="C470" s="5"/>
      <c r="D470" s="5"/>
      <c r="E470" s="1"/>
      <c r="F470" s="1"/>
      <c r="G470" s="1"/>
      <c r="H470" s="1"/>
      <c r="I470" s="1"/>
      <c r="J470" s="1"/>
      <c r="K470" s="1"/>
      <c r="L470" s="1"/>
      <c r="M470" s="1"/>
      <c r="N470" s="1"/>
      <c r="O470" s="5"/>
      <c r="P470" s="5"/>
      <c r="Q470" s="5"/>
      <c r="R470" s="1"/>
      <c r="S470" s="1"/>
      <c r="T470" s="1"/>
      <c r="U470" s="1"/>
      <c r="V470" s="1"/>
      <c r="W470" s="1"/>
      <c r="X470" s="1"/>
      <c r="Y470" s="1"/>
      <c r="Z470" s="1"/>
      <c r="AA470" s="1"/>
      <c r="AB470" s="1"/>
      <c r="AC470" s="1"/>
      <c r="AD470" s="1"/>
      <c r="AE470" s="1"/>
    </row>
    <row r="471" spans="1:31" x14ac:dyDescent="0.25">
      <c r="A471" s="1"/>
      <c r="B471" s="1"/>
      <c r="C471" s="5"/>
      <c r="D471" s="5"/>
      <c r="E471" s="1"/>
      <c r="F471" s="1"/>
      <c r="G471" s="1"/>
      <c r="H471" s="1"/>
      <c r="I471" s="1"/>
      <c r="J471" s="1"/>
      <c r="K471" s="1"/>
      <c r="L471" s="1"/>
      <c r="M471" s="1"/>
      <c r="N471" s="1"/>
      <c r="O471" s="5"/>
      <c r="P471" s="5"/>
      <c r="Q471" s="5"/>
      <c r="R471" s="1"/>
      <c r="S471" s="1"/>
      <c r="T471" s="1"/>
      <c r="U471" s="1"/>
      <c r="V471" s="1"/>
      <c r="W471" s="1"/>
      <c r="X471" s="1"/>
      <c r="Y471" s="1"/>
      <c r="Z471" s="1"/>
      <c r="AA471" s="1"/>
      <c r="AB471" s="1"/>
      <c r="AC471" s="1"/>
      <c r="AD471" s="1"/>
      <c r="AE471" s="1"/>
    </row>
    <row r="472" spans="1:31" x14ac:dyDescent="0.25">
      <c r="A472" s="1"/>
      <c r="B472" s="1"/>
      <c r="C472" s="5"/>
      <c r="D472" s="5"/>
      <c r="E472" s="1"/>
      <c r="F472" s="1"/>
      <c r="G472" s="1"/>
      <c r="H472" s="1"/>
      <c r="I472" s="1"/>
      <c r="J472" s="1"/>
      <c r="K472" s="1"/>
      <c r="L472" s="1"/>
      <c r="M472" s="1"/>
      <c r="N472" s="1"/>
      <c r="O472" s="5"/>
      <c r="P472" s="5"/>
      <c r="Q472" s="5"/>
      <c r="R472" s="1"/>
      <c r="S472" s="1"/>
      <c r="T472" s="1"/>
      <c r="U472" s="1"/>
      <c r="V472" s="1"/>
      <c r="W472" s="1"/>
      <c r="X472" s="1"/>
      <c r="Y472" s="1"/>
      <c r="Z472" s="1"/>
      <c r="AA472" s="1"/>
      <c r="AB472" s="1"/>
      <c r="AC472" s="1"/>
      <c r="AD472" s="1"/>
      <c r="AE472" s="1"/>
    </row>
    <row r="473" spans="1:31" x14ac:dyDescent="0.25">
      <c r="A473" s="1"/>
      <c r="B473" s="1"/>
      <c r="C473" s="5"/>
      <c r="D473" s="5"/>
      <c r="E473" s="1"/>
      <c r="F473" s="1"/>
      <c r="G473" s="1"/>
      <c r="H473" s="1"/>
      <c r="I473" s="1"/>
      <c r="J473" s="1"/>
      <c r="K473" s="1"/>
      <c r="L473" s="1"/>
      <c r="M473" s="1"/>
      <c r="N473" s="1"/>
      <c r="O473" s="5"/>
      <c r="P473" s="5"/>
      <c r="Q473" s="5"/>
      <c r="R473" s="1"/>
      <c r="S473" s="1"/>
      <c r="T473" s="1"/>
      <c r="U473" s="1"/>
      <c r="V473" s="1"/>
      <c r="W473" s="1"/>
      <c r="X473" s="1"/>
      <c r="Y473" s="1"/>
      <c r="Z473" s="1"/>
      <c r="AA473" s="1"/>
      <c r="AB473" s="1"/>
      <c r="AC473" s="1"/>
      <c r="AD473" s="1"/>
      <c r="AE473" s="1"/>
    </row>
    <row r="474" spans="1:31" x14ac:dyDescent="0.25">
      <c r="A474" s="1"/>
      <c r="B474" s="1"/>
      <c r="C474" s="5"/>
      <c r="D474" s="5"/>
      <c r="E474" s="1"/>
      <c r="F474" s="1"/>
      <c r="G474" s="1"/>
      <c r="H474" s="1"/>
      <c r="I474" s="1"/>
      <c r="J474" s="1"/>
      <c r="K474" s="1"/>
      <c r="L474" s="1"/>
      <c r="M474" s="1"/>
      <c r="N474" s="1"/>
      <c r="O474" s="5"/>
      <c r="P474" s="5"/>
      <c r="Q474" s="5"/>
      <c r="R474" s="1"/>
      <c r="S474" s="1"/>
      <c r="T474" s="1"/>
      <c r="U474" s="1"/>
      <c r="V474" s="1"/>
      <c r="W474" s="1"/>
      <c r="X474" s="1"/>
      <c r="Y474" s="1"/>
      <c r="Z474" s="1"/>
      <c r="AA474" s="1"/>
      <c r="AB474" s="1"/>
      <c r="AC474" s="1"/>
      <c r="AD474" s="1"/>
      <c r="AE474" s="1"/>
    </row>
    <row r="475" spans="1:31" x14ac:dyDescent="0.25">
      <c r="A475" s="1"/>
      <c r="B475" s="1"/>
      <c r="C475" s="5"/>
      <c r="D475" s="5"/>
      <c r="E475" s="1"/>
      <c r="F475" s="1"/>
      <c r="G475" s="1"/>
      <c r="H475" s="1"/>
      <c r="I475" s="1"/>
      <c r="J475" s="1"/>
      <c r="K475" s="1"/>
      <c r="L475" s="1"/>
      <c r="M475" s="1"/>
      <c r="N475" s="1"/>
      <c r="O475" s="5"/>
      <c r="P475" s="5"/>
      <c r="Q475" s="5"/>
      <c r="R475" s="1"/>
      <c r="S475" s="1"/>
      <c r="T475" s="1"/>
      <c r="U475" s="1"/>
      <c r="V475" s="1"/>
      <c r="W475" s="1"/>
      <c r="X475" s="1"/>
      <c r="Y475" s="1"/>
      <c r="Z475" s="1"/>
      <c r="AA475" s="1"/>
      <c r="AB475" s="1"/>
      <c r="AC475" s="1"/>
      <c r="AD475" s="1"/>
      <c r="AE475" s="1"/>
    </row>
    <row r="476" spans="1:31" x14ac:dyDescent="0.25">
      <c r="A476" s="1"/>
      <c r="B476" s="1"/>
      <c r="C476" s="5"/>
      <c r="D476" s="5"/>
      <c r="E476" s="1"/>
      <c r="F476" s="1"/>
      <c r="G476" s="1"/>
      <c r="H476" s="1"/>
      <c r="I476" s="1"/>
      <c r="J476" s="1"/>
      <c r="K476" s="1"/>
      <c r="L476" s="1"/>
      <c r="M476" s="1"/>
      <c r="N476" s="1"/>
      <c r="O476" s="5"/>
      <c r="P476" s="5"/>
      <c r="Q476" s="5"/>
      <c r="R476" s="1"/>
      <c r="S476" s="1"/>
      <c r="T476" s="1"/>
      <c r="U476" s="1"/>
      <c r="V476" s="1"/>
      <c r="W476" s="1"/>
      <c r="X476" s="1"/>
      <c r="Y476" s="1"/>
      <c r="Z476" s="1"/>
      <c r="AA476" s="1"/>
      <c r="AB476" s="1"/>
      <c r="AC476" s="1"/>
      <c r="AD476" s="1"/>
      <c r="AE476" s="1"/>
    </row>
    <row r="477" spans="1:31" x14ac:dyDescent="0.25">
      <c r="A477" s="1"/>
      <c r="B477" s="1"/>
      <c r="C477" s="5"/>
      <c r="D477" s="5"/>
      <c r="E477" s="1"/>
      <c r="F477" s="1"/>
      <c r="G477" s="1"/>
      <c r="H477" s="1"/>
      <c r="I477" s="1"/>
      <c r="J477" s="1"/>
      <c r="K477" s="1"/>
      <c r="L477" s="1"/>
      <c r="M477" s="1"/>
      <c r="N477" s="1"/>
      <c r="O477" s="5"/>
      <c r="P477" s="5"/>
      <c r="Q477" s="5"/>
      <c r="R477" s="1"/>
      <c r="S477" s="1"/>
      <c r="T477" s="1"/>
      <c r="U477" s="1"/>
      <c r="V477" s="1"/>
      <c r="W477" s="1"/>
      <c r="X477" s="1"/>
      <c r="Y477" s="1"/>
      <c r="Z477" s="1"/>
      <c r="AA477" s="1"/>
      <c r="AB477" s="1"/>
      <c r="AC477" s="1"/>
      <c r="AD477" s="1"/>
      <c r="AE477" s="1"/>
    </row>
    <row r="478" spans="1:31" x14ac:dyDescent="0.25">
      <c r="A478" s="1"/>
      <c r="B478" s="1"/>
      <c r="C478" s="5"/>
      <c r="D478" s="5"/>
      <c r="E478" s="1"/>
      <c r="F478" s="1"/>
      <c r="G478" s="1"/>
      <c r="H478" s="1"/>
      <c r="I478" s="1"/>
      <c r="J478" s="1"/>
      <c r="K478" s="1"/>
      <c r="L478" s="1"/>
      <c r="M478" s="1"/>
      <c r="N478" s="1"/>
      <c r="O478" s="5"/>
      <c r="P478" s="5"/>
      <c r="Q478" s="5"/>
      <c r="R478" s="1"/>
      <c r="S478" s="1"/>
      <c r="T478" s="1"/>
      <c r="U478" s="1"/>
      <c r="V478" s="1"/>
      <c r="W478" s="1"/>
      <c r="X478" s="1"/>
      <c r="Y478" s="1"/>
      <c r="Z478" s="1"/>
      <c r="AA478" s="1"/>
      <c r="AB478" s="1"/>
      <c r="AC478" s="1"/>
      <c r="AD478" s="1"/>
      <c r="AE478" s="1"/>
    </row>
    <row r="479" spans="1:31" x14ac:dyDescent="0.25">
      <c r="A479" s="1"/>
      <c r="B479" s="1"/>
      <c r="C479" s="5"/>
      <c r="D479" s="5"/>
      <c r="E479" s="1"/>
      <c r="F479" s="1"/>
      <c r="G479" s="1"/>
      <c r="H479" s="1"/>
      <c r="I479" s="1"/>
      <c r="J479" s="1"/>
      <c r="K479" s="1"/>
      <c r="L479" s="1"/>
      <c r="M479" s="1"/>
      <c r="N479" s="1"/>
      <c r="O479" s="5"/>
      <c r="P479" s="5"/>
      <c r="Q479" s="5"/>
      <c r="R479" s="1"/>
      <c r="S479" s="1"/>
      <c r="T479" s="1"/>
      <c r="U479" s="1"/>
      <c r="V479" s="1"/>
      <c r="W479" s="1"/>
      <c r="X479" s="1"/>
      <c r="Y479" s="1"/>
      <c r="Z479" s="1"/>
      <c r="AA479" s="1"/>
      <c r="AB479" s="1"/>
      <c r="AC479" s="1"/>
      <c r="AD479" s="1"/>
      <c r="AE479" s="1"/>
    </row>
    <row r="480" spans="1:31" x14ac:dyDescent="0.25">
      <c r="A480" s="1"/>
      <c r="B480" s="1"/>
      <c r="C480" s="5"/>
      <c r="D480" s="5"/>
      <c r="E480" s="1"/>
      <c r="F480" s="1"/>
      <c r="G480" s="1"/>
      <c r="H480" s="1"/>
      <c r="I480" s="1"/>
      <c r="J480" s="1"/>
      <c r="K480" s="1"/>
      <c r="L480" s="1"/>
      <c r="M480" s="1"/>
      <c r="N480" s="1"/>
      <c r="O480" s="5"/>
      <c r="P480" s="5"/>
      <c r="Q480" s="5"/>
      <c r="R480" s="1"/>
      <c r="S480" s="1"/>
      <c r="T480" s="1"/>
      <c r="U480" s="1"/>
      <c r="V480" s="1"/>
      <c r="W480" s="1"/>
      <c r="X480" s="1"/>
      <c r="Y480" s="1"/>
      <c r="Z480" s="1"/>
      <c r="AA480" s="1"/>
      <c r="AB480" s="1"/>
      <c r="AC480" s="1"/>
      <c r="AD480" s="1"/>
      <c r="AE480" s="1"/>
    </row>
    <row r="481" spans="1:31" x14ac:dyDescent="0.25">
      <c r="A481" s="1"/>
      <c r="B481" s="1"/>
      <c r="C481" s="5"/>
      <c r="D481" s="5"/>
      <c r="E481" s="1"/>
      <c r="F481" s="1"/>
      <c r="G481" s="1"/>
      <c r="H481" s="1"/>
      <c r="I481" s="1"/>
      <c r="J481" s="1"/>
      <c r="K481" s="1"/>
      <c r="L481" s="1"/>
      <c r="M481" s="1"/>
      <c r="N481" s="1"/>
      <c r="O481" s="5"/>
      <c r="P481" s="5"/>
      <c r="Q481" s="5"/>
      <c r="R481" s="1"/>
      <c r="S481" s="1"/>
      <c r="T481" s="1"/>
      <c r="U481" s="1"/>
      <c r="V481" s="1"/>
      <c r="W481" s="1"/>
      <c r="X481" s="1"/>
      <c r="Y481" s="1"/>
      <c r="Z481" s="1"/>
      <c r="AA481" s="1"/>
      <c r="AB481" s="1"/>
      <c r="AC481" s="1"/>
      <c r="AD481" s="1"/>
      <c r="AE481" s="1"/>
    </row>
    <row r="482" spans="1:31" x14ac:dyDescent="0.25">
      <c r="A482" s="1"/>
      <c r="B482" s="1"/>
      <c r="C482" s="5"/>
      <c r="D482" s="5"/>
      <c r="E482" s="1"/>
      <c r="F482" s="1"/>
      <c r="G482" s="1"/>
      <c r="H482" s="1"/>
      <c r="I482" s="1"/>
      <c r="J482" s="1"/>
      <c r="K482" s="1"/>
      <c r="L482" s="1"/>
      <c r="M482" s="1"/>
      <c r="N482" s="1"/>
      <c r="O482" s="5"/>
      <c r="P482" s="5"/>
      <c r="Q482" s="5"/>
      <c r="R482" s="1"/>
      <c r="S482" s="1"/>
      <c r="T482" s="1"/>
      <c r="U482" s="1"/>
      <c r="V482" s="1"/>
      <c r="W482" s="1"/>
      <c r="X482" s="1"/>
      <c r="Y482" s="1"/>
      <c r="Z482" s="1"/>
      <c r="AA482" s="1"/>
      <c r="AB482" s="1"/>
      <c r="AC482" s="1"/>
      <c r="AD482" s="1"/>
      <c r="AE482" s="1"/>
    </row>
    <row r="483" spans="1:31" x14ac:dyDescent="0.25">
      <c r="A483" s="1"/>
      <c r="B483" s="1"/>
      <c r="C483" s="5"/>
      <c r="D483" s="5"/>
      <c r="E483" s="1"/>
      <c r="F483" s="1"/>
      <c r="G483" s="1"/>
      <c r="H483" s="1"/>
      <c r="I483" s="1"/>
      <c r="J483" s="1"/>
      <c r="K483" s="1"/>
      <c r="L483" s="1"/>
      <c r="M483" s="1"/>
      <c r="N483" s="1"/>
      <c r="O483" s="5"/>
      <c r="P483" s="5"/>
      <c r="Q483" s="5"/>
      <c r="R483" s="1"/>
      <c r="S483" s="1"/>
      <c r="T483" s="1"/>
      <c r="U483" s="1"/>
      <c r="V483" s="1"/>
      <c r="W483" s="1"/>
      <c r="X483" s="1"/>
      <c r="Y483" s="1"/>
      <c r="Z483" s="1"/>
      <c r="AA483" s="1"/>
      <c r="AB483" s="1"/>
      <c r="AC483" s="1"/>
      <c r="AD483" s="1"/>
      <c r="AE483" s="1"/>
    </row>
    <row r="484" spans="1:31" x14ac:dyDescent="0.25">
      <c r="A484" s="1"/>
      <c r="B484" s="1"/>
      <c r="C484" s="5"/>
      <c r="D484" s="5"/>
      <c r="E484" s="1"/>
      <c r="F484" s="1"/>
      <c r="G484" s="1"/>
      <c r="H484" s="1"/>
      <c r="I484" s="1"/>
      <c r="J484" s="1"/>
      <c r="K484" s="1"/>
      <c r="L484" s="1"/>
      <c r="M484" s="1"/>
      <c r="N484" s="1"/>
      <c r="O484" s="5"/>
      <c r="P484" s="5"/>
      <c r="Q484" s="5"/>
      <c r="R484" s="1"/>
      <c r="S484" s="1"/>
      <c r="T484" s="1"/>
      <c r="U484" s="1"/>
      <c r="V484" s="1"/>
      <c r="W484" s="1"/>
      <c r="X484" s="1"/>
      <c r="Y484" s="1"/>
      <c r="Z484" s="1"/>
      <c r="AA484" s="1"/>
      <c r="AB484" s="1"/>
      <c r="AC484" s="1"/>
      <c r="AD484" s="1"/>
      <c r="AE484" s="1"/>
    </row>
    <row r="485" spans="1:31" x14ac:dyDescent="0.25">
      <c r="A485" s="1"/>
      <c r="B485" s="1"/>
      <c r="C485" s="5"/>
      <c r="D485" s="5"/>
      <c r="E485" s="1"/>
      <c r="F485" s="1"/>
      <c r="G485" s="1"/>
      <c r="H485" s="1"/>
      <c r="I485" s="1"/>
      <c r="J485" s="1"/>
      <c r="K485" s="1"/>
      <c r="L485" s="1"/>
      <c r="M485" s="1"/>
      <c r="N485" s="1"/>
      <c r="O485" s="5"/>
      <c r="P485" s="5"/>
      <c r="Q485" s="5"/>
      <c r="R485" s="1"/>
      <c r="S485" s="1"/>
      <c r="T485" s="1"/>
      <c r="U485" s="1"/>
      <c r="V485" s="1"/>
      <c r="W485" s="1"/>
      <c r="X485" s="1"/>
      <c r="Y485" s="1"/>
      <c r="Z485" s="1"/>
      <c r="AA485" s="1"/>
      <c r="AB485" s="1"/>
      <c r="AC485" s="1"/>
      <c r="AD485" s="1"/>
      <c r="AE485" s="1"/>
    </row>
    <row r="486" spans="1:31" x14ac:dyDescent="0.25">
      <c r="A486" s="1"/>
      <c r="B486" s="1"/>
      <c r="C486" s="5"/>
      <c r="D486" s="5"/>
      <c r="E486" s="1"/>
      <c r="F486" s="1"/>
      <c r="G486" s="1"/>
      <c r="H486" s="1"/>
      <c r="I486" s="1"/>
      <c r="J486" s="1"/>
      <c r="K486" s="1"/>
      <c r="L486" s="1"/>
      <c r="M486" s="1"/>
      <c r="N486" s="1"/>
      <c r="O486" s="5"/>
      <c r="P486" s="5"/>
      <c r="Q486" s="5"/>
      <c r="R486" s="1"/>
      <c r="S486" s="1"/>
      <c r="T486" s="1"/>
      <c r="U486" s="1"/>
      <c r="V486" s="1"/>
      <c r="W486" s="1"/>
      <c r="X486" s="1"/>
      <c r="Y486" s="1"/>
      <c r="Z486" s="1"/>
      <c r="AA486" s="1"/>
      <c r="AB486" s="1"/>
      <c r="AC486" s="1"/>
      <c r="AD486" s="1"/>
      <c r="AE486" s="1"/>
    </row>
    <row r="487" spans="1:31" x14ac:dyDescent="0.25">
      <c r="A487" s="1"/>
      <c r="B487" s="1"/>
      <c r="C487" s="5"/>
      <c r="D487" s="5"/>
      <c r="E487" s="1"/>
      <c r="F487" s="1"/>
      <c r="G487" s="1"/>
      <c r="H487" s="1"/>
      <c r="I487" s="1"/>
      <c r="J487" s="1"/>
      <c r="K487" s="1"/>
      <c r="L487" s="1"/>
      <c r="M487" s="1"/>
      <c r="N487" s="1"/>
      <c r="O487" s="5"/>
      <c r="P487" s="5"/>
      <c r="Q487" s="5"/>
      <c r="R487" s="1"/>
      <c r="S487" s="1"/>
      <c r="T487" s="1"/>
      <c r="U487" s="1"/>
      <c r="V487" s="1"/>
      <c r="W487" s="1"/>
      <c r="X487" s="1"/>
      <c r="Y487" s="1"/>
      <c r="Z487" s="1"/>
      <c r="AA487" s="1"/>
      <c r="AB487" s="1"/>
      <c r="AC487" s="1"/>
      <c r="AD487" s="1"/>
      <c r="AE487" s="1"/>
    </row>
    <row r="488" spans="1:31" x14ac:dyDescent="0.25">
      <c r="A488" s="1"/>
      <c r="B488" s="1"/>
      <c r="C488" s="5"/>
      <c r="D488" s="5"/>
      <c r="E488" s="1"/>
      <c r="F488" s="1"/>
      <c r="G488" s="1"/>
      <c r="H488" s="1"/>
      <c r="I488" s="1"/>
      <c r="J488" s="1"/>
      <c r="K488" s="1"/>
      <c r="L488" s="1"/>
      <c r="M488" s="1"/>
      <c r="N488" s="1"/>
      <c r="O488" s="5"/>
      <c r="P488" s="5"/>
      <c r="Q488" s="5"/>
      <c r="R488" s="1"/>
      <c r="S488" s="1"/>
      <c r="T488" s="1"/>
      <c r="U488" s="1"/>
      <c r="V488" s="1"/>
      <c r="W488" s="1"/>
      <c r="X488" s="1"/>
      <c r="Y488" s="1"/>
      <c r="Z488" s="1"/>
      <c r="AA488" s="1"/>
      <c r="AB488" s="1"/>
      <c r="AC488" s="1"/>
      <c r="AD488" s="1"/>
      <c r="AE488" s="1"/>
    </row>
    <row r="489" spans="1:31" x14ac:dyDescent="0.25">
      <c r="A489" s="1"/>
      <c r="B489" s="1"/>
      <c r="C489" s="5"/>
      <c r="D489" s="5"/>
      <c r="E489" s="1"/>
      <c r="F489" s="1"/>
      <c r="G489" s="1"/>
      <c r="H489" s="1"/>
      <c r="I489" s="1"/>
      <c r="J489" s="1"/>
      <c r="K489" s="1"/>
      <c r="L489" s="1"/>
      <c r="M489" s="1"/>
      <c r="N489" s="1"/>
      <c r="O489" s="5"/>
      <c r="P489" s="5"/>
      <c r="Q489" s="5"/>
      <c r="R489" s="1"/>
      <c r="S489" s="1"/>
      <c r="T489" s="1"/>
      <c r="U489" s="1"/>
      <c r="V489" s="1"/>
      <c r="W489" s="1"/>
      <c r="X489" s="1"/>
      <c r="Y489" s="1"/>
      <c r="Z489" s="1"/>
      <c r="AA489" s="1"/>
      <c r="AB489" s="1"/>
      <c r="AC489" s="1"/>
      <c r="AD489" s="1"/>
      <c r="AE489" s="1"/>
    </row>
    <row r="490" spans="1:31" x14ac:dyDescent="0.25">
      <c r="A490" s="1"/>
      <c r="B490" s="1"/>
      <c r="C490" s="5"/>
      <c r="D490" s="5"/>
      <c r="E490" s="1"/>
      <c r="F490" s="1"/>
      <c r="G490" s="1"/>
      <c r="H490" s="1"/>
      <c r="I490" s="1"/>
      <c r="J490" s="1"/>
      <c r="K490" s="1"/>
      <c r="L490" s="1"/>
      <c r="M490" s="1"/>
      <c r="N490" s="1"/>
      <c r="O490" s="5"/>
      <c r="P490" s="5"/>
      <c r="Q490" s="5"/>
      <c r="R490" s="1"/>
      <c r="S490" s="1"/>
      <c r="T490" s="1"/>
      <c r="U490" s="1"/>
      <c r="V490" s="1"/>
      <c r="W490" s="1"/>
      <c r="X490" s="1"/>
      <c r="Y490" s="1"/>
      <c r="Z490" s="1"/>
      <c r="AA490" s="1"/>
      <c r="AB490" s="1"/>
      <c r="AC490" s="1"/>
      <c r="AD490" s="1"/>
      <c r="AE490" s="1"/>
    </row>
    <row r="491" spans="1:31" x14ac:dyDescent="0.25">
      <c r="A491" s="1"/>
      <c r="B491" s="1"/>
      <c r="C491" s="5"/>
      <c r="D491" s="5"/>
      <c r="E491" s="1"/>
      <c r="F491" s="1"/>
      <c r="G491" s="1"/>
      <c r="H491" s="1"/>
      <c r="I491" s="1"/>
      <c r="J491" s="1"/>
      <c r="K491" s="1"/>
      <c r="L491" s="1"/>
      <c r="M491" s="1"/>
      <c r="N491" s="1"/>
      <c r="O491" s="5"/>
      <c r="P491" s="5"/>
      <c r="Q491" s="5"/>
      <c r="R491" s="1"/>
      <c r="S491" s="1"/>
      <c r="T491" s="1"/>
      <c r="U491" s="1"/>
      <c r="V491" s="1"/>
      <c r="W491" s="1"/>
      <c r="X491" s="1"/>
      <c r="Y491" s="1"/>
      <c r="Z491" s="1"/>
      <c r="AA491" s="1"/>
      <c r="AB491" s="1"/>
      <c r="AC491" s="1"/>
      <c r="AD491" s="1"/>
      <c r="AE491" s="1"/>
    </row>
    <row r="492" spans="1:31" x14ac:dyDescent="0.25">
      <c r="A492" s="1"/>
      <c r="B492" s="1"/>
      <c r="C492" s="5"/>
      <c r="D492" s="5"/>
      <c r="E492" s="1"/>
      <c r="F492" s="1"/>
      <c r="G492" s="1"/>
      <c r="H492" s="1"/>
      <c r="I492" s="1"/>
      <c r="J492" s="1"/>
      <c r="K492" s="1"/>
      <c r="L492" s="1"/>
      <c r="M492" s="1"/>
      <c r="N492" s="1"/>
      <c r="O492" s="5"/>
      <c r="P492" s="5"/>
      <c r="Q492" s="5"/>
      <c r="R492" s="1"/>
      <c r="S492" s="1"/>
      <c r="T492" s="1"/>
      <c r="U492" s="1"/>
      <c r="V492" s="1"/>
      <c r="W492" s="1"/>
      <c r="X492" s="1"/>
      <c r="Y492" s="1"/>
      <c r="Z492" s="1"/>
      <c r="AA492" s="1"/>
      <c r="AB492" s="1"/>
      <c r="AC492" s="1"/>
      <c r="AD492" s="1"/>
      <c r="AE492" s="1"/>
    </row>
    <row r="493" spans="1:31" x14ac:dyDescent="0.25">
      <c r="A493" s="1"/>
      <c r="B493" s="1"/>
      <c r="C493" s="5"/>
      <c r="D493" s="5"/>
      <c r="E493" s="1"/>
      <c r="F493" s="1"/>
      <c r="G493" s="1"/>
      <c r="H493" s="1"/>
      <c r="I493" s="1"/>
      <c r="J493" s="1"/>
      <c r="K493" s="1"/>
      <c r="L493" s="1"/>
      <c r="M493" s="1"/>
      <c r="N493" s="1"/>
      <c r="O493" s="5"/>
      <c r="P493" s="5"/>
      <c r="Q493" s="5"/>
      <c r="R493" s="1"/>
      <c r="S493" s="1"/>
      <c r="T493" s="1"/>
      <c r="U493" s="1"/>
      <c r="V493" s="1"/>
      <c r="W493" s="1"/>
      <c r="X493" s="1"/>
      <c r="Y493" s="1"/>
      <c r="Z493" s="1"/>
      <c r="AA493" s="1"/>
      <c r="AB493" s="1"/>
      <c r="AC493" s="1"/>
      <c r="AD493" s="1"/>
      <c r="AE493" s="1"/>
    </row>
    <row r="494" spans="1:31" x14ac:dyDescent="0.25">
      <c r="A494" s="1"/>
      <c r="B494" s="1"/>
      <c r="C494" s="5"/>
      <c r="D494" s="5"/>
      <c r="E494" s="1"/>
      <c r="F494" s="1"/>
      <c r="G494" s="1"/>
      <c r="H494" s="1"/>
      <c r="I494" s="1"/>
      <c r="J494" s="1"/>
      <c r="K494" s="1"/>
      <c r="L494" s="1"/>
      <c r="M494" s="1"/>
      <c r="N494" s="1"/>
      <c r="O494" s="5"/>
      <c r="P494" s="5"/>
      <c r="Q494" s="5"/>
      <c r="R494" s="1"/>
      <c r="S494" s="1"/>
      <c r="T494" s="1"/>
      <c r="U494" s="1"/>
      <c r="V494" s="1"/>
      <c r="W494" s="1"/>
      <c r="X494" s="1"/>
      <c r="Y494" s="1"/>
      <c r="Z494" s="1"/>
      <c r="AA494" s="1"/>
      <c r="AB494" s="1"/>
      <c r="AC494" s="1"/>
      <c r="AD494" s="1"/>
      <c r="AE494" s="1"/>
    </row>
    <row r="495" spans="1:31" x14ac:dyDescent="0.25">
      <c r="A495" s="1"/>
      <c r="B495" s="1"/>
      <c r="C495" s="5"/>
      <c r="D495" s="5"/>
      <c r="E495" s="1"/>
      <c r="F495" s="1"/>
      <c r="G495" s="1"/>
      <c r="H495" s="1"/>
      <c r="I495" s="1"/>
      <c r="J495" s="1"/>
      <c r="K495" s="1"/>
      <c r="L495" s="1"/>
      <c r="M495" s="1"/>
      <c r="N495" s="1"/>
      <c r="O495" s="5"/>
      <c r="P495" s="5"/>
      <c r="Q495" s="5"/>
      <c r="R495" s="1"/>
      <c r="S495" s="1"/>
      <c r="T495" s="1"/>
      <c r="U495" s="1"/>
      <c r="V495" s="1"/>
      <c r="W495" s="1"/>
      <c r="X495" s="1"/>
      <c r="Y495" s="1"/>
      <c r="Z495" s="1"/>
      <c r="AA495" s="1"/>
      <c r="AB495" s="1"/>
      <c r="AC495" s="1"/>
      <c r="AD495" s="1"/>
      <c r="AE495" s="1"/>
    </row>
    <row r="496" spans="1:31" x14ac:dyDescent="0.25">
      <c r="A496" s="1"/>
      <c r="B496" s="1"/>
      <c r="C496" s="5"/>
      <c r="D496" s="5"/>
      <c r="E496" s="1"/>
      <c r="F496" s="1"/>
      <c r="G496" s="1"/>
      <c r="H496" s="1"/>
      <c r="I496" s="1"/>
      <c r="J496" s="1"/>
      <c r="K496" s="1"/>
      <c r="L496" s="1"/>
      <c r="M496" s="1"/>
      <c r="N496" s="1"/>
      <c r="O496" s="5"/>
      <c r="P496" s="5"/>
      <c r="Q496" s="5"/>
      <c r="R496" s="1"/>
      <c r="S496" s="1"/>
      <c r="T496" s="1"/>
      <c r="U496" s="1"/>
      <c r="V496" s="1"/>
      <c r="W496" s="1"/>
      <c r="X496" s="1"/>
      <c r="Y496" s="1"/>
      <c r="Z496" s="1"/>
      <c r="AA496" s="1"/>
      <c r="AB496" s="1"/>
      <c r="AC496" s="1"/>
      <c r="AD496" s="1"/>
      <c r="AE496" s="1"/>
    </row>
    <row r="497" spans="1:31" x14ac:dyDescent="0.25">
      <c r="A497" s="1"/>
      <c r="B497" s="1"/>
      <c r="C497" s="5"/>
      <c r="D497" s="5"/>
      <c r="E497" s="1"/>
      <c r="F497" s="1"/>
      <c r="G497" s="1"/>
      <c r="H497" s="1"/>
      <c r="I497" s="1"/>
      <c r="J497" s="1"/>
      <c r="K497" s="1"/>
      <c r="L497" s="1"/>
      <c r="M497" s="1"/>
      <c r="N497" s="1"/>
      <c r="O497" s="5"/>
      <c r="P497" s="5"/>
      <c r="Q497" s="5"/>
      <c r="R497" s="1"/>
      <c r="S497" s="1"/>
      <c r="T497" s="1"/>
      <c r="U497" s="1"/>
      <c r="V497" s="1"/>
      <c r="W497" s="1"/>
      <c r="X497" s="1"/>
      <c r="Y497" s="1"/>
      <c r="Z497" s="1"/>
      <c r="AA497" s="1"/>
      <c r="AB497" s="1"/>
      <c r="AC497" s="1"/>
      <c r="AD497" s="1"/>
      <c r="AE497" s="1"/>
    </row>
    <row r="498" spans="1:31" x14ac:dyDescent="0.25">
      <c r="A498" s="1"/>
      <c r="B498" s="1"/>
      <c r="C498" s="5"/>
      <c r="D498" s="5"/>
      <c r="E498" s="1"/>
      <c r="F498" s="1"/>
      <c r="G498" s="1"/>
      <c r="H498" s="1"/>
      <c r="I498" s="1"/>
      <c r="J498" s="1"/>
      <c r="K498" s="1"/>
      <c r="L498" s="1"/>
      <c r="M498" s="1"/>
      <c r="N498" s="1"/>
      <c r="O498" s="5"/>
      <c r="P498" s="5"/>
      <c r="Q498" s="5"/>
      <c r="R498" s="1"/>
      <c r="S498" s="1"/>
      <c r="T498" s="1"/>
      <c r="U498" s="1"/>
      <c r="V498" s="1"/>
      <c r="W498" s="1"/>
      <c r="X498" s="1"/>
      <c r="Y498" s="1"/>
      <c r="Z498" s="1"/>
      <c r="AA498" s="1"/>
      <c r="AB498" s="1"/>
      <c r="AC498" s="1"/>
      <c r="AD498" s="1"/>
      <c r="AE498" s="1"/>
    </row>
    <row r="499" spans="1:31" x14ac:dyDescent="0.25">
      <c r="A499" s="1"/>
      <c r="B499" s="1"/>
      <c r="C499" s="5"/>
      <c r="D499" s="5"/>
      <c r="E499" s="1"/>
      <c r="F499" s="1"/>
      <c r="G499" s="1"/>
      <c r="H499" s="1"/>
      <c r="I499" s="1"/>
      <c r="J499" s="1"/>
      <c r="K499" s="1"/>
      <c r="L499" s="1"/>
      <c r="M499" s="1"/>
      <c r="N499" s="1"/>
      <c r="O499" s="5"/>
      <c r="P499" s="5"/>
      <c r="Q499" s="5"/>
      <c r="R499" s="1"/>
      <c r="S499" s="1"/>
      <c r="T499" s="1"/>
      <c r="U499" s="1"/>
      <c r="V499" s="1"/>
      <c r="W499" s="1"/>
      <c r="X499" s="1"/>
      <c r="Y499" s="1"/>
      <c r="Z499" s="1"/>
      <c r="AA499" s="1"/>
      <c r="AB499" s="1"/>
      <c r="AC499" s="1"/>
      <c r="AD499" s="1"/>
      <c r="AE499" s="1"/>
    </row>
    <row r="500" spans="1:31" x14ac:dyDescent="0.25">
      <c r="A500" s="1"/>
      <c r="B500" s="1"/>
      <c r="C500" s="5"/>
      <c r="D500" s="5"/>
      <c r="E500" s="1"/>
      <c r="F500" s="1"/>
      <c r="G500" s="1"/>
      <c r="H500" s="1"/>
      <c r="I500" s="1"/>
      <c r="J500" s="1"/>
      <c r="K500" s="1"/>
      <c r="L500" s="1"/>
      <c r="M500" s="1"/>
      <c r="N500" s="1"/>
      <c r="O500" s="5"/>
      <c r="P500" s="5"/>
      <c r="Q500" s="5"/>
      <c r="R500" s="1"/>
      <c r="S500" s="1"/>
      <c r="T500" s="1"/>
      <c r="U500" s="1"/>
      <c r="V500" s="1"/>
      <c r="W500" s="1"/>
      <c r="X500" s="1"/>
      <c r="Y500" s="1"/>
      <c r="Z500" s="1"/>
      <c r="AA500" s="1"/>
      <c r="AB500" s="1"/>
      <c r="AC500" s="1"/>
      <c r="AD500" s="1"/>
      <c r="AE500" s="1"/>
    </row>
    <row r="501" spans="1:31" x14ac:dyDescent="0.25">
      <c r="A501" s="1"/>
      <c r="B501" s="1"/>
      <c r="C501" s="5"/>
      <c r="D501" s="5"/>
      <c r="E501" s="1"/>
      <c r="F501" s="1"/>
      <c r="G501" s="1"/>
      <c r="H501" s="1"/>
      <c r="I501" s="1"/>
      <c r="J501" s="1"/>
      <c r="K501" s="1"/>
      <c r="L501" s="1"/>
      <c r="M501" s="1"/>
      <c r="N501" s="1"/>
      <c r="O501" s="5"/>
      <c r="P501" s="5"/>
      <c r="Q501" s="5"/>
      <c r="R501" s="1"/>
      <c r="S501" s="1"/>
      <c r="T501" s="1"/>
      <c r="U501" s="1"/>
      <c r="V501" s="1"/>
      <c r="W501" s="1"/>
      <c r="X501" s="1"/>
      <c r="Y501" s="1"/>
      <c r="Z501" s="1"/>
      <c r="AA501" s="1"/>
      <c r="AB501" s="1"/>
      <c r="AC501" s="1"/>
      <c r="AD501" s="1"/>
      <c r="AE501" s="1"/>
    </row>
    <row r="502" spans="1:31" x14ac:dyDescent="0.25">
      <c r="A502" s="1"/>
      <c r="B502" s="1"/>
      <c r="C502" s="5"/>
      <c r="D502" s="5"/>
      <c r="E502" s="1"/>
      <c r="F502" s="1"/>
      <c r="G502" s="1"/>
      <c r="H502" s="1"/>
      <c r="I502" s="1"/>
      <c r="J502" s="1"/>
      <c r="K502" s="1"/>
      <c r="L502" s="1"/>
      <c r="M502" s="1"/>
      <c r="N502" s="1"/>
      <c r="O502" s="5"/>
      <c r="P502" s="5"/>
      <c r="Q502" s="5"/>
      <c r="R502" s="1"/>
      <c r="S502" s="1"/>
      <c r="T502" s="1"/>
      <c r="U502" s="1"/>
      <c r="V502" s="1"/>
      <c r="W502" s="1"/>
      <c r="X502" s="1"/>
      <c r="Y502" s="1"/>
      <c r="Z502" s="1"/>
      <c r="AA502" s="1"/>
      <c r="AB502" s="1"/>
      <c r="AC502" s="1"/>
      <c r="AD502" s="1"/>
      <c r="AE502" s="1"/>
    </row>
    <row r="503" spans="1:31" x14ac:dyDescent="0.25">
      <c r="A503" s="1"/>
      <c r="B503" s="1"/>
      <c r="C503" s="5"/>
      <c r="D503" s="5"/>
      <c r="E503" s="1"/>
      <c r="F503" s="1"/>
      <c r="G503" s="1"/>
      <c r="H503" s="1"/>
      <c r="I503" s="1"/>
      <c r="J503" s="1"/>
      <c r="K503" s="1"/>
      <c r="L503" s="1"/>
      <c r="M503" s="1"/>
      <c r="N503" s="1"/>
      <c r="O503" s="5"/>
      <c r="P503" s="5"/>
      <c r="Q503" s="5"/>
      <c r="R503" s="1"/>
      <c r="S503" s="1"/>
      <c r="T503" s="1"/>
      <c r="U503" s="1"/>
      <c r="V503" s="1"/>
      <c r="W503" s="1"/>
      <c r="X503" s="1"/>
      <c r="Y503" s="1"/>
      <c r="Z503" s="1"/>
      <c r="AA503" s="1"/>
      <c r="AB503" s="1"/>
      <c r="AC503" s="1"/>
      <c r="AD503" s="1"/>
      <c r="AE503" s="1"/>
    </row>
    <row r="504" spans="1:31" x14ac:dyDescent="0.25">
      <c r="A504" s="1"/>
      <c r="B504" s="1"/>
      <c r="C504" s="5"/>
      <c r="D504" s="5"/>
      <c r="E504" s="1"/>
      <c r="F504" s="1"/>
      <c r="G504" s="1"/>
      <c r="H504" s="1"/>
      <c r="I504" s="1"/>
      <c r="J504" s="1"/>
      <c r="K504" s="1"/>
      <c r="L504" s="1"/>
      <c r="M504" s="1"/>
      <c r="N504" s="1"/>
      <c r="O504" s="5"/>
      <c r="P504" s="5"/>
      <c r="Q504" s="5"/>
      <c r="R504" s="1"/>
      <c r="S504" s="1"/>
      <c r="T504" s="1"/>
      <c r="U504" s="1"/>
      <c r="V504" s="1"/>
      <c r="W504" s="1"/>
      <c r="X504" s="1"/>
      <c r="Y504" s="1"/>
      <c r="Z504" s="1"/>
      <c r="AA504" s="1"/>
      <c r="AB504" s="1"/>
      <c r="AC504" s="1"/>
      <c r="AD504" s="1"/>
      <c r="AE504" s="1"/>
    </row>
    <row r="505" spans="1:31" x14ac:dyDescent="0.25">
      <c r="A505" s="1"/>
      <c r="B505" s="1"/>
      <c r="C505" s="5"/>
      <c r="D505" s="5"/>
      <c r="E505" s="1"/>
      <c r="F505" s="1"/>
      <c r="G505" s="1"/>
      <c r="H505" s="1"/>
      <c r="I505" s="1"/>
      <c r="J505" s="1"/>
      <c r="K505" s="1"/>
      <c r="L505" s="1"/>
      <c r="M505" s="1"/>
      <c r="N505" s="1"/>
      <c r="O505" s="5"/>
      <c r="P505" s="5"/>
      <c r="Q505" s="5"/>
      <c r="R505" s="1"/>
      <c r="S505" s="1"/>
      <c r="T505" s="1"/>
      <c r="U505" s="1"/>
      <c r="V505" s="1"/>
      <c r="W505" s="1"/>
      <c r="X505" s="1"/>
      <c r="Y505" s="1"/>
      <c r="Z505" s="1"/>
      <c r="AA505" s="1"/>
      <c r="AB505" s="1"/>
      <c r="AC505" s="1"/>
      <c r="AD505" s="1"/>
      <c r="AE505" s="1"/>
    </row>
    <row r="506" spans="1:31" x14ac:dyDescent="0.25">
      <c r="A506" s="1"/>
      <c r="B506" s="1"/>
      <c r="C506" s="5"/>
      <c r="D506" s="5"/>
      <c r="E506" s="1"/>
      <c r="F506" s="1"/>
      <c r="G506" s="1"/>
      <c r="H506" s="1"/>
      <c r="I506" s="1"/>
      <c r="J506" s="1"/>
      <c r="K506" s="1"/>
      <c r="L506" s="1"/>
      <c r="M506" s="1"/>
      <c r="N506" s="1"/>
      <c r="O506" s="5"/>
      <c r="P506" s="5"/>
      <c r="Q506" s="5"/>
      <c r="R506" s="1"/>
      <c r="S506" s="1"/>
      <c r="T506" s="1"/>
      <c r="U506" s="1"/>
      <c r="V506" s="1"/>
      <c r="W506" s="1"/>
      <c r="X506" s="1"/>
      <c r="Y506" s="1"/>
      <c r="Z506" s="1"/>
      <c r="AA506" s="1"/>
      <c r="AB506" s="1"/>
      <c r="AC506" s="1"/>
      <c r="AD506" s="1"/>
      <c r="AE506" s="1"/>
    </row>
    <row r="507" spans="1:31" x14ac:dyDescent="0.25">
      <c r="A507" s="1"/>
      <c r="B507" s="1"/>
      <c r="C507" s="5"/>
      <c r="D507" s="5"/>
      <c r="E507" s="1"/>
      <c r="F507" s="1"/>
      <c r="G507" s="1"/>
      <c r="H507" s="1"/>
      <c r="I507" s="1"/>
      <c r="J507" s="1"/>
      <c r="K507" s="1"/>
      <c r="L507" s="1"/>
      <c r="M507" s="1"/>
      <c r="N507" s="1"/>
      <c r="O507" s="5"/>
      <c r="P507" s="5"/>
      <c r="Q507" s="5"/>
      <c r="R507" s="1"/>
      <c r="S507" s="1"/>
      <c r="T507" s="1"/>
      <c r="U507" s="1"/>
      <c r="V507" s="1"/>
      <c r="W507" s="1"/>
      <c r="X507" s="1"/>
      <c r="Y507" s="1"/>
      <c r="Z507" s="1"/>
      <c r="AA507" s="1"/>
      <c r="AB507" s="1"/>
      <c r="AC507" s="1"/>
      <c r="AD507" s="1"/>
      <c r="AE507" s="1"/>
    </row>
    <row r="508" spans="1:31" x14ac:dyDescent="0.25">
      <c r="A508" s="1"/>
      <c r="B508" s="1"/>
      <c r="C508" s="5"/>
      <c r="D508" s="5"/>
      <c r="E508" s="1"/>
      <c r="F508" s="1"/>
      <c r="G508" s="1"/>
      <c r="H508" s="1"/>
      <c r="I508" s="1"/>
      <c r="J508" s="1"/>
      <c r="K508" s="1"/>
      <c r="L508" s="1"/>
      <c r="M508" s="1"/>
      <c r="N508" s="1"/>
      <c r="O508" s="5"/>
      <c r="P508" s="5"/>
      <c r="Q508" s="5"/>
      <c r="R508" s="1"/>
      <c r="S508" s="1"/>
      <c r="T508" s="1"/>
      <c r="U508" s="1"/>
      <c r="V508" s="1"/>
      <c r="W508" s="1"/>
      <c r="X508" s="1"/>
      <c r="Y508" s="1"/>
      <c r="Z508" s="1"/>
      <c r="AA508" s="1"/>
      <c r="AB508" s="1"/>
      <c r="AC508" s="1"/>
      <c r="AD508" s="1"/>
      <c r="AE508" s="1"/>
    </row>
    <row r="509" spans="1:31" x14ac:dyDescent="0.25">
      <c r="A509" s="1"/>
      <c r="B509" s="1"/>
      <c r="C509" s="5"/>
      <c r="D509" s="5"/>
      <c r="E509" s="1"/>
      <c r="F509" s="1"/>
      <c r="G509" s="1"/>
      <c r="H509" s="1"/>
      <c r="I509" s="1"/>
      <c r="J509" s="1"/>
      <c r="K509" s="1"/>
      <c r="L509" s="1"/>
      <c r="M509" s="1"/>
      <c r="N509" s="1"/>
      <c r="O509" s="5"/>
      <c r="P509" s="5"/>
      <c r="Q509" s="5"/>
      <c r="R509" s="1"/>
      <c r="S509" s="1"/>
      <c r="T509" s="1"/>
      <c r="U509" s="1"/>
      <c r="V509" s="1"/>
      <c r="W509" s="1"/>
      <c r="X509" s="1"/>
      <c r="Y509" s="1"/>
      <c r="Z509" s="1"/>
      <c r="AA509" s="1"/>
      <c r="AB509" s="1"/>
      <c r="AC509" s="1"/>
      <c r="AD509" s="1"/>
      <c r="AE509" s="1"/>
    </row>
    <row r="510" spans="1:31" x14ac:dyDescent="0.25">
      <c r="A510" s="1"/>
      <c r="B510" s="1"/>
      <c r="C510" s="5"/>
      <c r="D510" s="5"/>
      <c r="E510" s="1"/>
      <c r="F510" s="1"/>
      <c r="G510" s="1"/>
      <c r="H510" s="1"/>
      <c r="I510" s="1"/>
      <c r="J510" s="1"/>
      <c r="K510" s="1"/>
      <c r="L510" s="1"/>
      <c r="M510" s="1"/>
      <c r="N510" s="1"/>
      <c r="O510" s="5"/>
      <c r="P510" s="5"/>
      <c r="Q510" s="5"/>
      <c r="R510" s="1"/>
      <c r="S510" s="1"/>
      <c r="T510" s="1"/>
      <c r="U510" s="1"/>
      <c r="V510" s="1"/>
      <c r="W510" s="1"/>
      <c r="X510" s="1"/>
      <c r="Y510" s="1"/>
      <c r="Z510" s="1"/>
      <c r="AA510" s="1"/>
      <c r="AB510" s="1"/>
      <c r="AC510" s="1"/>
      <c r="AD510" s="1"/>
      <c r="AE510" s="1"/>
    </row>
    <row r="511" spans="1:31" x14ac:dyDescent="0.25">
      <c r="A511" s="1"/>
      <c r="B511" s="1"/>
      <c r="C511" s="5"/>
      <c r="D511" s="5"/>
      <c r="E511" s="1"/>
      <c r="F511" s="1"/>
      <c r="G511" s="1"/>
      <c r="H511" s="1"/>
      <c r="I511" s="1"/>
      <c r="J511" s="1"/>
      <c r="K511" s="1"/>
      <c r="L511" s="1"/>
      <c r="M511" s="1"/>
      <c r="N511" s="1"/>
      <c r="O511" s="5"/>
      <c r="P511" s="5"/>
      <c r="Q511" s="5"/>
      <c r="R511" s="1"/>
      <c r="S511" s="1"/>
      <c r="T511" s="1"/>
      <c r="U511" s="1"/>
      <c r="V511" s="1"/>
      <c r="W511" s="1"/>
      <c r="X511" s="1"/>
      <c r="Y511" s="1"/>
      <c r="Z511" s="1"/>
      <c r="AA511" s="1"/>
      <c r="AB511" s="1"/>
      <c r="AC511" s="1"/>
      <c r="AD511" s="1"/>
      <c r="AE511" s="1"/>
    </row>
    <row r="512" spans="1:31" x14ac:dyDescent="0.25">
      <c r="A512" s="1"/>
      <c r="B512" s="1"/>
      <c r="C512" s="5"/>
      <c r="D512" s="5"/>
      <c r="E512" s="1"/>
      <c r="F512" s="1"/>
      <c r="G512" s="1"/>
      <c r="H512" s="1"/>
      <c r="I512" s="1"/>
      <c r="J512" s="1"/>
      <c r="K512" s="1"/>
      <c r="L512" s="1"/>
      <c r="M512" s="1"/>
      <c r="N512" s="1"/>
      <c r="O512" s="5"/>
      <c r="P512" s="5"/>
      <c r="Q512" s="5"/>
      <c r="R512" s="1"/>
      <c r="S512" s="1"/>
      <c r="T512" s="1"/>
      <c r="U512" s="1"/>
      <c r="V512" s="1"/>
      <c r="W512" s="1"/>
      <c r="X512" s="1"/>
      <c r="Y512" s="1"/>
      <c r="Z512" s="1"/>
      <c r="AA512" s="1"/>
      <c r="AB512" s="1"/>
      <c r="AC512" s="1"/>
      <c r="AD512" s="1"/>
      <c r="AE512" s="1"/>
    </row>
    <row r="513" spans="1:31" x14ac:dyDescent="0.25">
      <c r="A513" s="1"/>
      <c r="B513" s="1"/>
      <c r="C513" s="5"/>
      <c r="D513" s="5"/>
      <c r="E513" s="1"/>
      <c r="F513" s="1"/>
      <c r="G513" s="1"/>
      <c r="H513" s="1"/>
      <c r="I513" s="1"/>
      <c r="J513" s="1"/>
      <c r="K513" s="1"/>
      <c r="L513" s="1"/>
      <c r="M513" s="1"/>
      <c r="N513" s="1"/>
      <c r="O513" s="5"/>
      <c r="P513" s="5"/>
      <c r="Q513" s="5"/>
      <c r="R513" s="1"/>
      <c r="S513" s="1"/>
      <c r="T513" s="1"/>
      <c r="U513" s="1"/>
      <c r="V513" s="1"/>
      <c r="W513" s="1"/>
      <c r="X513" s="1"/>
      <c r="Y513" s="1"/>
      <c r="Z513" s="1"/>
      <c r="AA513" s="1"/>
      <c r="AB513" s="1"/>
      <c r="AC513" s="1"/>
      <c r="AD513" s="1"/>
      <c r="AE513" s="1"/>
    </row>
    <row r="514" spans="1:31" x14ac:dyDescent="0.25">
      <c r="A514" s="1"/>
      <c r="B514" s="1"/>
      <c r="C514" s="5"/>
      <c r="D514" s="5"/>
      <c r="E514" s="1"/>
      <c r="F514" s="1"/>
      <c r="G514" s="1"/>
      <c r="H514" s="1"/>
      <c r="I514" s="1"/>
      <c r="J514" s="1"/>
      <c r="K514" s="1"/>
      <c r="L514" s="1"/>
      <c r="M514" s="1"/>
      <c r="N514" s="1"/>
      <c r="O514" s="5"/>
      <c r="P514" s="5"/>
      <c r="Q514" s="5"/>
      <c r="R514" s="1"/>
      <c r="S514" s="1"/>
      <c r="T514" s="1"/>
      <c r="U514" s="1"/>
      <c r="V514" s="1"/>
      <c r="W514" s="1"/>
      <c r="X514" s="1"/>
      <c r="Y514" s="1"/>
      <c r="Z514" s="1"/>
      <c r="AA514" s="1"/>
      <c r="AB514" s="1"/>
      <c r="AC514" s="1"/>
      <c r="AD514" s="1"/>
      <c r="AE514" s="1"/>
    </row>
    <row r="515" spans="1:31" x14ac:dyDescent="0.25">
      <c r="A515" s="1"/>
      <c r="B515" s="1"/>
      <c r="C515" s="5"/>
      <c r="D515" s="5"/>
      <c r="E515" s="1"/>
      <c r="F515" s="1"/>
      <c r="G515" s="1"/>
      <c r="H515" s="1"/>
      <c r="I515" s="1"/>
      <c r="J515" s="1"/>
      <c r="K515" s="1"/>
      <c r="L515" s="1"/>
      <c r="M515" s="1"/>
      <c r="N515" s="1"/>
      <c r="O515" s="5"/>
      <c r="P515" s="5"/>
      <c r="Q515" s="5"/>
      <c r="R515" s="1"/>
      <c r="S515" s="1"/>
      <c r="T515" s="1"/>
      <c r="U515" s="1"/>
      <c r="V515" s="1"/>
      <c r="W515" s="1"/>
      <c r="X515" s="1"/>
      <c r="Y515" s="1"/>
      <c r="Z515" s="1"/>
      <c r="AA515" s="1"/>
      <c r="AB515" s="1"/>
      <c r="AC515" s="1"/>
      <c r="AD515" s="1"/>
      <c r="AE515" s="1"/>
    </row>
    <row r="516" spans="1:31" x14ac:dyDescent="0.25">
      <c r="A516" s="1"/>
      <c r="B516" s="1"/>
      <c r="C516" s="5"/>
      <c r="D516" s="5"/>
      <c r="E516" s="1"/>
      <c r="F516" s="1"/>
      <c r="G516" s="1"/>
      <c r="H516" s="1"/>
      <c r="I516" s="1"/>
      <c r="J516" s="1"/>
      <c r="K516" s="1"/>
      <c r="L516" s="1"/>
      <c r="M516" s="1"/>
      <c r="N516" s="1"/>
      <c r="O516" s="5"/>
      <c r="P516" s="5"/>
      <c r="Q516" s="5"/>
      <c r="R516" s="1"/>
      <c r="S516" s="1"/>
      <c r="T516" s="1"/>
      <c r="U516" s="1"/>
      <c r="V516" s="1"/>
      <c r="W516" s="1"/>
      <c r="X516" s="1"/>
      <c r="Y516" s="1"/>
      <c r="Z516" s="1"/>
      <c r="AA516" s="1"/>
      <c r="AB516" s="1"/>
      <c r="AC516" s="1"/>
      <c r="AD516" s="1"/>
      <c r="AE516" s="1"/>
    </row>
    <row r="517" spans="1:31" x14ac:dyDescent="0.25">
      <c r="A517" s="1"/>
      <c r="B517" s="1"/>
      <c r="C517" s="5"/>
      <c r="D517" s="5"/>
      <c r="E517" s="1"/>
      <c r="F517" s="1"/>
      <c r="G517" s="1"/>
      <c r="H517" s="1"/>
      <c r="I517" s="1"/>
      <c r="J517" s="1"/>
      <c r="K517" s="1"/>
      <c r="L517" s="1"/>
      <c r="M517" s="1"/>
      <c r="N517" s="1"/>
      <c r="O517" s="5"/>
      <c r="P517" s="5"/>
      <c r="Q517" s="5"/>
      <c r="R517" s="1"/>
      <c r="S517" s="1"/>
      <c r="T517" s="1"/>
      <c r="U517" s="1"/>
      <c r="V517" s="1"/>
      <c r="W517" s="1"/>
      <c r="X517" s="1"/>
      <c r="Y517" s="1"/>
      <c r="Z517" s="1"/>
      <c r="AA517" s="1"/>
      <c r="AB517" s="1"/>
      <c r="AC517" s="1"/>
      <c r="AD517" s="1"/>
      <c r="AE517" s="1"/>
    </row>
    <row r="518" spans="1:31" x14ac:dyDescent="0.25">
      <c r="A518" s="1"/>
      <c r="B518" s="1"/>
      <c r="C518" s="5"/>
      <c r="D518" s="5"/>
      <c r="E518" s="1"/>
      <c r="F518" s="1"/>
      <c r="G518" s="1"/>
      <c r="H518" s="1"/>
      <c r="I518" s="1"/>
      <c r="J518" s="1"/>
      <c r="K518" s="1"/>
      <c r="L518" s="1"/>
      <c r="M518" s="1"/>
      <c r="N518" s="1"/>
      <c r="O518" s="5"/>
      <c r="P518" s="5"/>
      <c r="Q518" s="5"/>
      <c r="R518" s="1"/>
      <c r="S518" s="1"/>
      <c r="T518" s="1"/>
      <c r="U518" s="1"/>
      <c r="V518" s="1"/>
      <c r="W518" s="1"/>
      <c r="X518" s="1"/>
      <c r="Y518" s="1"/>
      <c r="Z518" s="1"/>
      <c r="AA518" s="1"/>
      <c r="AB518" s="1"/>
      <c r="AC518" s="1"/>
      <c r="AD518" s="1"/>
      <c r="AE518" s="1"/>
    </row>
    <row r="519" spans="1:31" x14ac:dyDescent="0.25">
      <c r="A519" s="1"/>
      <c r="B519" s="1"/>
      <c r="C519" s="5"/>
      <c r="D519" s="5"/>
      <c r="E519" s="1"/>
      <c r="F519" s="1"/>
      <c r="G519" s="1"/>
      <c r="H519" s="1"/>
      <c r="I519" s="1"/>
      <c r="J519" s="1"/>
      <c r="K519" s="1"/>
      <c r="L519" s="1"/>
      <c r="M519" s="1"/>
      <c r="N519" s="1"/>
      <c r="O519" s="5"/>
      <c r="P519" s="5"/>
      <c r="Q519" s="5"/>
      <c r="R519" s="1"/>
      <c r="S519" s="1"/>
      <c r="T519" s="1"/>
      <c r="U519" s="1"/>
      <c r="V519" s="1"/>
      <c r="W519" s="1"/>
      <c r="X519" s="1"/>
      <c r="Y519" s="1"/>
      <c r="Z519" s="1"/>
      <c r="AA519" s="1"/>
      <c r="AB519" s="1"/>
      <c r="AC519" s="1"/>
      <c r="AD519" s="1"/>
      <c r="AE519" s="1"/>
    </row>
    <row r="520" spans="1:31" x14ac:dyDescent="0.25">
      <c r="A520" s="1"/>
      <c r="B520" s="1"/>
      <c r="C520" s="5"/>
      <c r="D520" s="5"/>
      <c r="E520" s="1"/>
      <c r="F520" s="1"/>
      <c r="G520" s="1"/>
      <c r="H520" s="1"/>
      <c r="I520" s="1"/>
      <c r="J520" s="1"/>
      <c r="K520" s="1"/>
      <c r="L520" s="1"/>
      <c r="M520" s="1"/>
      <c r="N520" s="1"/>
      <c r="O520" s="5"/>
      <c r="P520" s="5"/>
      <c r="Q520" s="5"/>
      <c r="R520" s="1"/>
      <c r="S520" s="1"/>
      <c r="T520" s="1"/>
      <c r="U520" s="1"/>
      <c r="V520" s="1"/>
      <c r="W520" s="1"/>
      <c r="X520" s="1"/>
      <c r="Y520" s="1"/>
      <c r="Z520" s="1"/>
      <c r="AA520" s="1"/>
      <c r="AB520" s="1"/>
      <c r="AC520" s="1"/>
      <c r="AD520" s="1"/>
      <c r="AE520" s="1"/>
    </row>
    <row r="521" spans="1:31" x14ac:dyDescent="0.25">
      <c r="A521" s="1"/>
      <c r="B521" s="1"/>
      <c r="C521" s="5"/>
      <c r="D521" s="5"/>
      <c r="E521" s="1"/>
      <c r="F521" s="1"/>
      <c r="G521" s="1"/>
      <c r="H521" s="1"/>
      <c r="I521" s="1"/>
      <c r="J521" s="1"/>
      <c r="K521" s="1"/>
      <c r="L521" s="1"/>
      <c r="M521" s="1"/>
      <c r="N521" s="1"/>
      <c r="O521" s="5"/>
      <c r="P521" s="5"/>
      <c r="Q521" s="5"/>
      <c r="R521" s="1"/>
      <c r="S521" s="1"/>
      <c r="T521" s="1"/>
      <c r="U521" s="1"/>
      <c r="V521" s="1"/>
      <c r="W521" s="1"/>
      <c r="X521" s="1"/>
      <c r="Y521" s="1"/>
      <c r="Z521" s="1"/>
      <c r="AA521" s="1"/>
      <c r="AB521" s="1"/>
      <c r="AC521" s="1"/>
      <c r="AD521" s="1"/>
      <c r="AE521" s="1"/>
    </row>
    <row r="522" spans="1:31" x14ac:dyDescent="0.25">
      <c r="A522" s="1"/>
      <c r="B522" s="1"/>
      <c r="C522" s="5"/>
      <c r="D522" s="5"/>
      <c r="E522" s="1"/>
      <c r="F522" s="1"/>
      <c r="G522" s="1"/>
      <c r="H522" s="1"/>
      <c r="I522" s="1"/>
      <c r="J522" s="1"/>
      <c r="K522" s="1"/>
      <c r="L522" s="1"/>
      <c r="M522" s="1"/>
      <c r="N522" s="1"/>
      <c r="O522" s="5"/>
      <c r="P522" s="5"/>
      <c r="Q522" s="5"/>
      <c r="R522" s="1"/>
      <c r="S522" s="1"/>
      <c r="T522" s="1"/>
      <c r="U522" s="1"/>
      <c r="V522" s="1"/>
      <c r="W522" s="1"/>
      <c r="X522" s="1"/>
      <c r="Y522" s="1"/>
      <c r="Z522" s="1"/>
      <c r="AA522" s="1"/>
      <c r="AB522" s="1"/>
      <c r="AC522" s="1"/>
      <c r="AD522" s="1"/>
      <c r="AE522" s="1"/>
    </row>
    <row r="523" spans="1:31" x14ac:dyDescent="0.25">
      <c r="A523" s="1"/>
      <c r="B523" s="1"/>
      <c r="C523" s="5"/>
      <c r="D523" s="5"/>
      <c r="E523" s="1"/>
      <c r="F523" s="1"/>
      <c r="G523" s="1"/>
      <c r="H523" s="1"/>
      <c r="I523" s="1"/>
      <c r="J523" s="1"/>
      <c r="K523" s="1"/>
      <c r="L523" s="1"/>
      <c r="M523" s="1"/>
      <c r="N523" s="1"/>
      <c r="O523" s="5"/>
      <c r="P523" s="5"/>
      <c r="Q523" s="5"/>
      <c r="R523" s="1"/>
      <c r="S523" s="1"/>
      <c r="T523" s="1"/>
      <c r="U523" s="1"/>
      <c r="V523" s="1"/>
      <c r="W523" s="1"/>
      <c r="X523" s="1"/>
      <c r="Y523" s="1"/>
      <c r="Z523" s="1"/>
      <c r="AA523" s="1"/>
      <c r="AB523" s="1"/>
      <c r="AC523" s="1"/>
      <c r="AD523" s="1"/>
      <c r="AE523" s="1"/>
    </row>
    <row r="524" spans="1:31" x14ac:dyDescent="0.25">
      <c r="A524" s="1"/>
      <c r="B524" s="1"/>
      <c r="C524" s="5"/>
      <c r="D524" s="5"/>
      <c r="E524" s="1"/>
      <c r="F524" s="1"/>
      <c r="G524" s="1"/>
      <c r="H524" s="1"/>
      <c r="I524" s="1"/>
      <c r="J524" s="1"/>
      <c r="K524" s="1"/>
      <c r="L524" s="1"/>
      <c r="M524" s="1"/>
      <c r="N524" s="1"/>
      <c r="O524" s="5"/>
      <c r="P524" s="5"/>
      <c r="Q524" s="5"/>
      <c r="R524" s="1"/>
      <c r="S524" s="1"/>
      <c r="T524" s="1"/>
      <c r="U524" s="1"/>
      <c r="V524" s="1"/>
      <c r="W524" s="1"/>
      <c r="X524" s="1"/>
      <c r="Y524" s="1"/>
      <c r="Z524" s="1"/>
      <c r="AA524" s="1"/>
      <c r="AB524" s="1"/>
      <c r="AC524" s="1"/>
      <c r="AD524" s="1"/>
      <c r="AE524" s="1"/>
    </row>
    <row r="525" spans="1:31" x14ac:dyDescent="0.25">
      <c r="A525" s="1"/>
      <c r="B525" s="1"/>
      <c r="C525" s="5"/>
      <c r="D525" s="5"/>
      <c r="E525" s="1"/>
      <c r="F525" s="1"/>
      <c r="G525" s="1"/>
      <c r="H525" s="1"/>
      <c r="I525" s="1"/>
      <c r="J525" s="1"/>
      <c r="K525" s="1"/>
      <c r="L525" s="1"/>
      <c r="M525" s="1"/>
      <c r="N525" s="1"/>
      <c r="O525" s="5"/>
      <c r="P525" s="5"/>
      <c r="Q525" s="5"/>
      <c r="R525" s="1"/>
      <c r="S525" s="1"/>
      <c r="T525" s="1"/>
      <c r="U525" s="1"/>
      <c r="V525" s="1"/>
      <c r="W525" s="1"/>
      <c r="X525" s="1"/>
      <c r="Y525" s="1"/>
      <c r="Z525" s="1"/>
      <c r="AA525" s="1"/>
      <c r="AB525" s="1"/>
      <c r="AC525" s="1"/>
      <c r="AD525" s="1"/>
      <c r="AE525" s="1"/>
    </row>
    <row r="526" spans="1:31" x14ac:dyDescent="0.25">
      <c r="A526" s="1"/>
      <c r="B526" s="1"/>
      <c r="C526" s="5"/>
      <c r="D526" s="5"/>
      <c r="E526" s="1"/>
      <c r="F526" s="1"/>
      <c r="G526" s="1"/>
      <c r="H526" s="1"/>
      <c r="I526" s="1"/>
      <c r="J526" s="1"/>
      <c r="K526" s="1"/>
      <c r="L526" s="1"/>
      <c r="M526" s="1"/>
      <c r="N526" s="1"/>
      <c r="O526" s="5"/>
      <c r="P526" s="5"/>
      <c r="Q526" s="5"/>
      <c r="R526" s="1"/>
      <c r="S526" s="1"/>
      <c r="T526" s="1"/>
      <c r="U526" s="1"/>
      <c r="V526" s="1"/>
      <c r="W526" s="1"/>
      <c r="X526" s="1"/>
      <c r="Y526" s="1"/>
      <c r="Z526" s="1"/>
      <c r="AA526" s="1"/>
      <c r="AB526" s="1"/>
      <c r="AC526" s="1"/>
      <c r="AD526" s="1"/>
      <c r="AE526" s="1"/>
    </row>
    <row r="527" spans="1:31" x14ac:dyDescent="0.25">
      <c r="A527" s="1"/>
      <c r="B527" s="1"/>
      <c r="C527" s="5"/>
      <c r="D527" s="5"/>
      <c r="E527" s="1"/>
      <c r="F527" s="1"/>
      <c r="G527" s="1"/>
      <c r="H527" s="1"/>
      <c r="I527" s="1"/>
      <c r="J527" s="1"/>
      <c r="K527" s="1"/>
      <c r="L527" s="1"/>
      <c r="M527" s="1"/>
      <c r="N527" s="1"/>
      <c r="O527" s="5"/>
      <c r="P527" s="5"/>
      <c r="Q527" s="5"/>
      <c r="R527" s="1"/>
      <c r="S527" s="1"/>
      <c r="T527" s="1"/>
      <c r="U527" s="1"/>
      <c r="V527" s="1"/>
      <c r="W527" s="1"/>
      <c r="X527" s="1"/>
      <c r="Y527" s="1"/>
      <c r="Z527" s="1"/>
      <c r="AA527" s="1"/>
      <c r="AB527" s="1"/>
      <c r="AC527" s="1"/>
      <c r="AD527" s="1"/>
      <c r="AE527" s="1"/>
    </row>
    <row r="528" spans="1:31" x14ac:dyDescent="0.25">
      <c r="A528" s="1"/>
      <c r="B528" s="1"/>
      <c r="C528" s="5"/>
      <c r="D528" s="5"/>
      <c r="E528" s="1"/>
      <c r="F528" s="1"/>
      <c r="G528" s="1"/>
      <c r="H528" s="1"/>
      <c r="I528" s="1"/>
      <c r="J528" s="1"/>
      <c r="K528" s="1"/>
      <c r="L528" s="1"/>
      <c r="M528" s="1"/>
      <c r="N528" s="1"/>
      <c r="O528" s="5"/>
      <c r="P528" s="5"/>
      <c r="Q528" s="5"/>
      <c r="R528" s="1"/>
      <c r="S528" s="1"/>
      <c r="T528" s="1"/>
      <c r="U528" s="1"/>
      <c r="V528" s="1"/>
      <c r="W528" s="1"/>
      <c r="X528" s="1"/>
      <c r="Y528" s="1"/>
      <c r="Z528" s="1"/>
      <c r="AA528" s="1"/>
      <c r="AB528" s="1"/>
      <c r="AC528" s="1"/>
      <c r="AD528" s="1"/>
      <c r="AE528" s="1"/>
    </row>
    <row r="529" spans="1:31" x14ac:dyDescent="0.25">
      <c r="A529" s="1"/>
      <c r="B529" s="1"/>
      <c r="C529" s="5"/>
      <c r="D529" s="5"/>
      <c r="E529" s="1"/>
      <c r="F529" s="1"/>
      <c r="G529" s="1"/>
      <c r="H529" s="1"/>
      <c r="I529" s="1"/>
      <c r="J529" s="1"/>
      <c r="K529" s="1"/>
      <c r="L529" s="1"/>
      <c r="M529" s="1"/>
      <c r="N529" s="1"/>
      <c r="O529" s="5"/>
      <c r="P529" s="5"/>
      <c r="Q529" s="5"/>
      <c r="R529" s="1"/>
      <c r="S529" s="1"/>
      <c r="T529" s="1"/>
      <c r="U529" s="1"/>
      <c r="V529" s="1"/>
      <c r="W529" s="1"/>
      <c r="X529" s="1"/>
      <c r="Y529" s="1"/>
      <c r="Z529" s="1"/>
      <c r="AA529" s="1"/>
      <c r="AB529" s="1"/>
      <c r="AC529" s="1"/>
      <c r="AD529" s="1"/>
      <c r="AE529" s="1"/>
    </row>
    <row r="530" spans="1:31" x14ac:dyDescent="0.25">
      <c r="A530" s="1"/>
      <c r="B530" s="1"/>
      <c r="C530" s="5"/>
      <c r="D530" s="5"/>
      <c r="E530" s="1"/>
      <c r="F530" s="1"/>
      <c r="G530" s="1"/>
      <c r="H530" s="1"/>
      <c r="I530" s="1"/>
      <c r="J530" s="1"/>
      <c r="K530" s="1"/>
      <c r="L530" s="1"/>
      <c r="M530" s="1"/>
      <c r="N530" s="1"/>
      <c r="O530" s="5"/>
      <c r="P530" s="5"/>
      <c r="Q530" s="5"/>
      <c r="R530" s="1"/>
      <c r="S530" s="1"/>
      <c r="T530" s="1"/>
      <c r="U530" s="1"/>
      <c r="V530" s="1"/>
      <c r="W530" s="1"/>
      <c r="X530" s="1"/>
      <c r="Y530" s="1"/>
      <c r="Z530" s="1"/>
      <c r="AA530" s="1"/>
      <c r="AB530" s="1"/>
      <c r="AC530" s="1"/>
      <c r="AD530" s="1"/>
      <c r="AE530" s="1"/>
    </row>
    <row r="531" spans="1:31" x14ac:dyDescent="0.25">
      <c r="A531" s="1"/>
      <c r="B531" s="1"/>
      <c r="C531" s="5"/>
      <c r="D531" s="5"/>
      <c r="E531" s="1"/>
      <c r="F531" s="1"/>
      <c r="G531" s="1"/>
      <c r="H531" s="1"/>
      <c r="I531" s="1"/>
      <c r="J531" s="1"/>
      <c r="K531" s="1"/>
      <c r="L531" s="1"/>
      <c r="M531" s="1"/>
      <c r="N531" s="1"/>
      <c r="O531" s="5"/>
      <c r="P531" s="5"/>
      <c r="Q531" s="5"/>
      <c r="R531" s="1"/>
      <c r="S531" s="1"/>
      <c r="T531" s="1"/>
      <c r="U531" s="1"/>
      <c r="V531" s="1"/>
      <c r="W531" s="1"/>
      <c r="X531" s="1"/>
      <c r="Y531" s="1"/>
      <c r="Z531" s="1"/>
      <c r="AA531" s="1"/>
      <c r="AB531" s="1"/>
      <c r="AC531" s="1"/>
      <c r="AD531" s="1"/>
      <c r="AE531" s="1"/>
    </row>
    <row r="532" spans="1:31" x14ac:dyDescent="0.25">
      <c r="A532" s="1"/>
      <c r="B532" s="1"/>
      <c r="C532" s="5"/>
      <c r="D532" s="5"/>
      <c r="E532" s="1"/>
      <c r="F532" s="1"/>
      <c r="G532" s="1"/>
      <c r="H532" s="1"/>
      <c r="I532" s="1"/>
      <c r="J532" s="1"/>
      <c r="K532" s="1"/>
      <c r="L532" s="1"/>
      <c r="M532" s="1"/>
      <c r="N532" s="1"/>
      <c r="O532" s="5"/>
      <c r="P532" s="5"/>
      <c r="Q532" s="5"/>
      <c r="R532" s="1"/>
      <c r="S532" s="1"/>
      <c r="T532" s="1"/>
      <c r="U532" s="1"/>
      <c r="V532" s="1"/>
      <c r="W532" s="1"/>
      <c r="X532" s="1"/>
      <c r="Y532" s="1"/>
      <c r="Z532" s="1"/>
      <c r="AA532" s="1"/>
      <c r="AB532" s="1"/>
      <c r="AC532" s="1"/>
      <c r="AD532" s="1"/>
      <c r="AE532" s="1"/>
    </row>
    <row r="533" spans="1:31" x14ac:dyDescent="0.25">
      <c r="A533" s="1"/>
      <c r="B533" s="1"/>
      <c r="C533" s="5"/>
      <c r="D533" s="5"/>
      <c r="E533" s="1"/>
      <c r="F533" s="1"/>
      <c r="G533" s="1"/>
      <c r="H533" s="1"/>
      <c r="I533" s="1"/>
      <c r="J533" s="1"/>
      <c r="K533" s="1"/>
      <c r="L533" s="1"/>
      <c r="M533" s="1"/>
      <c r="N533" s="1"/>
      <c r="O533" s="5"/>
      <c r="P533" s="5"/>
      <c r="Q533" s="5"/>
      <c r="R533" s="1"/>
      <c r="S533" s="1"/>
      <c r="T533" s="1"/>
      <c r="U533" s="1"/>
      <c r="V533" s="1"/>
      <c r="W533" s="1"/>
      <c r="X533" s="1"/>
      <c r="Y533" s="1"/>
      <c r="Z533" s="1"/>
      <c r="AA533" s="1"/>
      <c r="AB533" s="1"/>
      <c r="AC533" s="1"/>
      <c r="AD533" s="1"/>
      <c r="AE533" s="1"/>
    </row>
    <row r="534" spans="1:31" x14ac:dyDescent="0.25">
      <c r="A534" s="1"/>
      <c r="B534" s="1"/>
      <c r="C534" s="5"/>
      <c r="D534" s="5"/>
      <c r="E534" s="1"/>
      <c r="F534" s="1"/>
      <c r="G534" s="1"/>
      <c r="H534" s="1"/>
      <c r="I534" s="1"/>
      <c r="J534" s="1"/>
      <c r="K534" s="1"/>
      <c r="L534" s="1"/>
      <c r="M534" s="1"/>
      <c r="N534" s="1"/>
      <c r="O534" s="5"/>
      <c r="P534" s="5"/>
      <c r="Q534" s="5"/>
      <c r="R534" s="1"/>
      <c r="S534" s="1"/>
      <c r="T534" s="1"/>
      <c r="U534" s="1"/>
      <c r="V534" s="1"/>
      <c r="W534" s="1"/>
      <c r="X534" s="1"/>
      <c r="Y534" s="1"/>
      <c r="Z534" s="1"/>
      <c r="AA534" s="1"/>
      <c r="AB534" s="1"/>
      <c r="AC534" s="1"/>
      <c r="AD534" s="1"/>
      <c r="AE534" s="1"/>
    </row>
    <row r="535" spans="1:31" x14ac:dyDescent="0.25">
      <c r="A535" s="1"/>
      <c r="B535" s="1"/>
      <c r="C535" s="5"/>
      <c r="D535" s="5"/>
      <c r="E535" s="1"/>
      <c r="F535" s="1"/>
      <c r="G535" s="1"/>
      <c r="H535" s="1"/>
      <c r="I535" s="1"/>
      <c r="J535" s="1"/>
      <c r="K535" s="1"/>
      <c r="L535" s="1"/>
      <c r="M535" s="1"/>
      <c r="N535" s="1"/>
      <c r="O535" s="5"/>
      <c r="P535" s="5"/>
      <c r="Q535" s="5"/>
      <c r="R535" s="1"/>
      <c r="S535" s="1"/>
      <c r="T535" s="1"/>
      <c r="U535" s="1"/>
      <c r="V535" s="1"/>
      <c r="W535" s="1"/>
      <c r="X535" s="1"/>
      <c r="Y535" s="1"/>
      <c r="Z535" s="1"/>
      <c r="AA535" s="1"/>
      <c r="AB535" s="1"/>
      <c r="AC535" s="1"/>
      <c r="AD535" s="1"/>
      <c r="AE535" s="1"/>
    </row>
    <row r="536" spans="1:31" x14ac:dyDescent="0.25">
      <c r="A536" s="1"/>
      <c r="B536" s="1"/>
      <c r="C536" s="5"/>
      <c r="D536" s="5"/>
      <c r="E536" s="1"/>
      <c r="F536" s="1"/>
      <c r="G536" s="1"/>
      <c r="H536" s="1"/>
      <c r="I536" s="1"/>
      <c r="J536" s="1"/>
      <c r="K536" s="1"/>
      <c r="L536" s="1"/>
      <c r="M536" s="1"/>
      <c r="N536" s="1"/>
      <c r="O536" s="5"/>
      <c r="P536" s="5"/>
      <c r="Q536" s="5"/>
      <c r="R536" s="1"/>
      <c r="S536" s="1"/>
      <c r="T536" s="1"/>
      <c r="U536" s="1"/>
      <c r="V536" s="1"/>
      <c r="W536" s="1"/>
      <c r="X536" s="1"/>
      <c r="Y536" s="1"/>
      <c r="Z536" s="1"/>
      <c r="AA536" s="1"/>
      <c r="AB536" s="1"/>
      <c r="AC536" s="1"/>
      <c r="AD536" s="1"/>
      <c r="AE536" s="1"/>
    </row>
    <row r="537" spans="1:31" x14ac:dyDescent="0.25">
      <c r="A537" s="1"/>
      <c r="B537" s="1"/>
      <c r="C537" s="5"/>
      <c r="D537" s="5"/>
      <c r="E537" s="1"/>
      <c r="F537" s="1"/>
      <c r="G537" s="1"/>
      <c r="H537" s="1"/>
      <c r="I537" s="1"/>
      <c r="J537" s="1"/>
      <c r="K537" s="1"/>
      <c r="L537" s="1"/>
      <c r="M537" s="1"/>
      <c r="N537" s="1"/>
      <c r="O537" s="5"/>
      <c r="P537" s="5"/>
      <c r="Q537" s="5"/>
      <c r="R537" s="1"/>
      <c r="S537" s="1"/>
      <c r="T537" s="1"/>
      <c r="U537" s="1"/>
      <c r="V537" s="1"/>
      <c r="W537" s="1"/>
      <c r="X537" s="1"/>
      <c r="Y537" s="1"/>
      <c r="Z537" s="1"/>
      <c r="AA537" s="1"/>
      <c r="AB537" s="1"/>
      <c r="AC537" s="1"/>
      <c r="AD537" s="1"/>
      <c r="AE537" s="1"/>
    </row>
    <row r="538" spans="1:31" x14ac:dyDescent="0.25">
      <c r="A538" s="1"/>
      <c r="B538" s="1"/>
      <c r="C538" s="5"/>
      <c r="D538" s="5"/>
      <c r="E538" s="1"/>
      <c r="F538" s="1"/>
      <c r="G538" s="1"/>
      <c r="H538" s="1"/>
      <c r="I538" s="1"/>
      <c r="J538" s="1"/>
      <c r="K538" s="1"/>
      <c r="L538" s="1"/>
      <c r="M538" s="1"/>
      <c r="N538" s="1"/>
      <c r="O538" s="5"/>
      <c r="P538" s="5"/>
      <c r="Q538" s="5"/>
      <c r="R538" s="1"/>
      <c r="S538" s="1"/>
      <c r="T538" s="1"/>
      <c r="U538" s="1"/>
      <c r="V538" s="1"/>
      <c r="W538" s="1"/>
      <c r="X538" s="1"/>
      <c r="Y538" s="1"/>
      <c r="Z538" s="1"/>
      <c r="AA538" s="1"/>
      <c r="AB538" s="1"/>
      <c r="AC538" s="1"/>
      <c r="AD538" s="1"/>
      <c r="AE538" s="1"/>
    </row>
    <row r="539" spans="1:31" x14ac:dyDescent="0.25">
      <c r="A539" s="1"/>
      <c r="B539" s="1"/>
      <c r="C539" s="5"/>
      <c r="D539" s="5"/>
      <c r="E539" s="1"/>
      <c r="F539" s="1"/>
      <c r="G539" s="1"/>
      <c r="H539" s="1"/>
      <c r="I539" s="1"/>
      <c r="J539" s="1"/>
      <c r="K539" s="1"/>
      <c r="L539" s="1"/>
      <c r="M539" s="1"/>
      <c r="N539" s="1"/>
      <c r="O539" s="5"/>
      <c r="P539" s="5"/>
      <c r="Q539" s="5"/>
      <c r="R539" s="1"/>
      <c r="S539" s="1"/>
      <c r="T539" s="1"/>
      <c r="U539" s="1"/>
      <c r="V539" s="1"/>
      <c r="W539" s="1"/>
      <c r="X539" s="1"/>
      <c r="Y539" s="1"/>
      <c r="Z539" s="1"/>
      <c r="AA539" s="1"/>
      <c r="AB539" s="1"/>
      <c r="AC539" s="1"/>
      <c r="AD539" s="1"/>
      <c r="AE539" s="1"/>
    </row>
    <row r="540" spans="1:31" x14ac:dyDescent="0.25">
      <c r="A540" s="1"/>
      <c r="B540" s="1"/>
      <c r="C540" s="5"/>
      <c r="D540" s="5"/>
      <c r="E540" s="1"/>
      <c r="F540" s="1"/>
      <c r="G540" s="1"/>
      <c r="H540" s="1"/>
      <c r="I540" s="1"/>
      <c r="J540" s="1"/>
      <c r="K540" s="1"/>
      <c r="L540" s="1"/>
      <c r="M540" s="1"/>
      <c r="N540" s="1"/>
      <c r="O540" s="5"/>
      <c r="P540" s="5"/>
      <c r="Q540" s="5"/>
      <c r="R540" s="1"/>
      <c r="S540" s="1"/>
      <c r="T540" s="1"/>
      <c r="U540" s="1"/>
      <c r="V540" s="1"/>
      <c r="W540" s="1"/>
      <c r="X540" s="1"/>
      <c r="Y540" s="1"/>
      <c r="Z540" s="1"/>
      <c r="AA540" s="1"/>
      <c r="AB540" s="1"/>
      <c r="AC540" s="1"/>
      <c r="AD540" s="1"/>
      <c r="AE540" s="1"/>
    </row>
    <row r="541" spans="1:31" x14ac:dyDescent="0.25">
      <c r="A541" s="1"/>
      <c r="B541" s="1"/>
      <c r="C541" s="5"/>
      <c r="D541" s="5"/>
      <c r="E541" s="1"/>
      <c r="F541" s="1"/>
      <c r="G541" s="1"/>
      <c r="H541" s="1"/>
      <c r="I541" s="1"/>
      <c r="J541" s="1"/>
      <c r="K541" s="1"/>
      <c r="L541" s="1"/>
      <c r="M541" s="1"/>
      <c r="N541" s="1"/>
      <c r="O541" s="5"/>
      <c r="P541" s="5"/>
      <c r="Q541" s="5"/>
      <c r="R541" s="1"/>
      <c r="S541" s="1"/>
      <c r="T541" s="1"/>
      <c r="U541" s="1"/>
      <c r="V541" s="1"/>
      <c r="W541" s="1"/>
      <c r="X541" s="1"/>
      <c r="Y541" s="1"/>
      <c r="Z541" s="1"/>
      <c r="AA541" s="1"/>
      <c r="AB541" s="1"/>
      <c r="AC541" s="1"/>
      <c r="AD541" s="1"/>
      <c r="AE541" s="1"/>
    </row>
    <row r="542" spans="1:31" x14ac:dyDescent="0.25">
      <c r="A542" s="1"/>
      <c r="B542" s="1"/>
      <c r="C542" s="5"/>
      <c r="D542" s="5"/>
      <c r="E542" s="1"/>
      <c r="F542" s="1"/>
      <c r="G542" s="1"/>
      <c r="H542" s="1"/>
      <c r="I542" s="1"/>
      <c r="J542" s="1"/>
      <c r="K542" s="1"/>
      <c r="L542" s="1"/>
      <c r="M542" s="1"/>
      <c r="N542" s="1"/>
      <c r="O542" s="5"/>
      <c r="P542" s="5"/>
      <c r="Q542" s="5"/>
      <c r="R542" s="1"/>
      <c r="S542" s="1"/>
      <c r="T542" s="1"/>
      <c r="U542" s="1"/>
      <c r="V542" s="1"/>
      <c r="W542" s="1"/>
      <c r="X542" s="1"/>
      <c r="Y542" s="1"/>
      <c r="Z542" s="1"/>
      <c r="AA542" s="1"/>
      <c r="AB542" s="1"/>
      <c r="AC542" s="1"/>
      <c r="AD542" s="1"/>
      <c r="AE542" s="1"/>
    </row>
    <row r="543" spans="1:31" x14ac:dyDescent="0.25">
      <c r="A543" s="1"/>
      <c r="B543" s="1"/>
      <c r="C543" s="5"/>
      <c r="D543" s="5"/>
      <c r="E543" s="1"/>
      <c r="F543" s="1"/>
      <c r="G543" s="1"/>
      <c r="H543" s="1"/>
      <c r="I543" s="1"/>
      <c r="J543" s="1"/>
      <c r="K543" s="1"/>
      <c r="L543" s="1"/>
      <c r="M543" s="1"/>
      <c r="N543" s="1"/>
      <c r="O543" s="5"/>
      <c r="P543" s="5"/>
      <c r="Q543" s="5"/>
      <c r="R543" s="1"/>
      <c r="S543" s="1"/>
      <c r="T543" s="1"/>
      <c r="U543" s="1"/>
      <c r="V543" s="1"/>
      <c r="W543" s="1"/>
      <c r="X543" s="1"/>
      <c r="Y543" s="1"/>
      <c r="Z543" s="1"/>
      <c r="AA543" s="1"/>
      <c r="AB543" s="1"/>
      <c r="AC543" s="1"/>
      <c r="AD543" s="1"/>
      <c r="AE543" s="1"/>
    </row>
    <row r="544" spans="1:31" x14ac:dyDescent="0.25">
      <c r="A544" s="1"/>
      <c r="B544" s="1"/>
      <c r="C544" s="5"/>
      <c r="D544" s="5"/>
      <c r="E544" s="1"/>
      <c r="F544" s="1"/>
      <c r="G544" s="1"/>
      <c r="H544" s="1"/>
      <c r="I544" s="1"/>
      <c r="J544" s="1"/>
      <c r="K544" s="1"/>
      <c r="L544" s="1"/>
      <c r="M544" s="1"/>
      <c r="N544" s="1"/>
      <c r="O544" s="5"/>
      <c r="P544" s="5"/>
      <c r="Q544" s="5"/>
      <c r="R544" s="1"/>
      <c r="S544" s="1"/>
      <c r="T544" s="1"/>
      <c r="U544" s="1"/>
      <c r="V544" s="1"/>
      <c r="W544" s="1"/>
      <c r="X544" s="1"/>
      <c r="Y544" s="1"/>
      <c r="Z544" s="1"/>
      <c r="AA544" s="1"/>
      <c r="AB544" s="1"/>
      <c r="AC544" s="1"/>
      <c r="AD544" s="1"/>
      <c r="AE544" s="1"/>
    </row>
    <row r="545" spans="1:31" x14ac:dyDescent="0.25">
      <c r="A545" s="1"/>
      <c r="B545" s="1"/>
      <c r="C545" s="5"/>
      <c r="D545" s="5"/>
      <c r="E545" s="1"/>
      <c r="F545" s="1"/>
      <c r="G545" s="1"/>
      <c r="H545" s="1"/>
      <c r="I545" s="1"/>
      <c r="J545" s="1"/>
      <c r="K545" s="1"/>
      <c r="L545" s="1"/>
      <c r="M545" s="1"/>
      <c r="N545" s="1"/>
      <c r="O545" s="5"/>
      <c r="P545" s="5"/>
      <c r="Q545" s="5"/>
      <c r="R545" s="1"/>
      <c r="S545" s="1"/>
      <c r="T545" s="1"/>
      <c r="U545" s="1"/>
      <c r="V545" s="1"/>
      <c r="W545" s="1"/>
      <c r="X545" s="1"/>
      <c r="Y545" s="1"/>
      <c r="Z545" s="1"/>
      <c r="AA545" s="1"/>
      <c r="AB545" s="1"/>
      <c r="AC545" s="1"/>
      <c r="AD545" s="1"/>
      <c r="AE545" s="1"/>
    </row>
    <row r="546" spans="1:31" x14ac:dyDescent="0.25">
      <c r="A546" s="1"/>
      <c r="B546" s="1"/>
      <c r="C546" s="5"/>
      <c r="D546" s="5"/>
      <c r="E546" s="1"/>
      <c r="F546" s="1"/>
      <c r="G546" s="1"/>
      <c r="H546" s="1"/>
      <c r="I546" s="1"/>
      <c r="J546" s="1"/>
      <c r="K546" s="1"/>
      <c r="L546" s="1"/>
      <c r="M546" s="1"/>
      <c r="N546" s="1"/>
      <c r="O546" s="5"/>
      <c r="P546" s="5"/>
      <c r="Q546" s="5"/>
      <c r="R546" s="1"/>
      <c r="S546" s="1"/>
      <c r="T546" s="1"/>
      <c r="U546" s="1"/>
      <c r="V546" s="1"/>
      <c r="W546" s="1"/>
      <c r="X546" s="1"/>
      <c r="Y546" s="1"/>
      <c r="Z546" s="1"/>
      <c r="AA546" s="1"/>
      <c r="AB546" s="1"/>
      <c r="AC546" s="1"/>
      <c r="AD546" s="1"/>
      <c r="AE546" s="1"/>
    </row>
    <row r="547" spans="1:31" x14ac:dyDescent="0.25">
      <c r="A547" s="1"/>
      <c r="B547" s="1"/>
      <c r="C547" s="5"/>
      <c r="D547" s="5"/>
      <c r="E547" s="1"/>
      <c r="F547" s="1"/>
      <c r="G547" s="1"/>
      <c r="H547" s="1"/>
      <c r="I547" s="1"/>
      <c r="J547" s="1"/>
      <c r="K547" s="1"/>
      <c r="L547" s="1"/>
      <c r="M547" s="1"/>
      <c r="N547" s="1"/>
      <c r="O547" s="5"/>
      <c r="P547" s="5"/>
      <c r="Q547" s="5"/>
      <c r="R547" s="1"/>
      <c r="S547" s="1"/>
      <c r="T547" s="1"/>
      <c r="U547" s="1"/>
      <c r="V547" s="1"/>
      <c r="W547" s="1"/>
      <c r="X547" s="1"/>
      <c r="Y547" s="1"/>
      <c r="Z547" s="1"/>
      <c r="AA547" s="1"/>
      <c r="AB547" s="1"/>
      <c r="AC547" s="1"/>
      <c r="AD547" s="1"/>
      <c r="AE547" s="1"/>
    </row>
    <row r="548" spans="1:31" x14ac:dyDescent="0.25">
      <c r="A548" s="1"/>
      <c r="B548" s="1"/>
      <c r="C548" s="5"/>
      <c r="D548" s="5"/>
      <c r="E548" s="1"/>
      <c r="F548" s="1"/>
      <c r="G548" s="1"/>
      <c r="H548" s="1"/>
      <c r="I548" s="1"/>
      <c r="J548" s="1"/>
      <c r="K548" s="1"/>
      <c r="L548" s="1"/>
      <c r="M548" s="1"/>
      <c r="N548" s="1"/>
      <c r="O548" s="5"/>
      <c r="P548" s="5"/>
      <c r="Q548" s="5"/>
      <c r="R548" s="1"/>
      <c r="S548" s="1"/>
      <c r="T548" s="1"/>
      <c r="U548" s="1"/>
      <c r="V548" s="1"/>
      <c r="W548" s="1"/>
      <c r="X548" s="1"/>
      <c r="Y548" s="1"/>
      <c r="Z548" s="1"/>
      <c r="AA548" s="1"/>
      <c r="AB548" s="1"/>
      <c r="AC548" s="1"/>
      <c r="AD548" s="1"/>
      <c r="AE548" s="1"/>
    </row>
    <row r="549" spans="1:31" x14ac:dyDescent="0.25">
      <c r="A549" s="1"/>
      <c r="B549" s="1"/>
      <c r="C549" s="5"/>
      <c r="D549" s="5"/>
      <c r="E549" s="1"/>
      <c r="F549" s="1"/>
      <c r="G549" s="1"/>
      <c r="H549" s="1"/>
      <c r="I549" s="1"/>
      <c r="J549" s="1"/>
      <c r="K549" s="1"/>
      <c r="L549" s="1"/>
      <c r="M549" s="1"/>
      <c r="N549" s="1"/>
      <c r="O549" s="5"/>
      <c r="P549" s="5"/>
      <c r="Q549" s="5"/>
      <c r="R549" s="1"/>
      <c r="S549" s="1"/>
      <c r="T549" s="1"/>
      <c r="U549" s="1"/>
      <c r="V549" s="1"/>
      <c r="W549" s="1"/>
      <c r="X549" s="1"/>
      <c r="Y549" s="1"/>
      <c r="Z549" s="1"/>
      <c r="AA549" s="1"/>
      <c r="AB549" s="1"/>
      <c r="AC549" s="1"/>
      <c r="AD549" s="1"/>
      <c r="AE549" s="1"/>
    </row>
    <row r="550" spans="1:31" x14ac:dyDescent="0.25">
      <c r="A550" s="1"/>
      <c r="B550" s="1"/>
      <c r="C550" s="5"/>
      <c r="D550" s="5"/>
      <c r="E550" s="1"/>
      <c r="F550" s="1"/>
      <c r="G550" s="1"/>
      <c r="H550" s="1"/>
      <c r="I550" s="1"/>
      <c r="J550" s="1"/>
      <c r="K550" s="1"/>
      <c r="L550" s="1"/>
      <c r="M550" s="1"/>
      <c r="N550" s="1"/>
      <c r="O550" s="5"/>
      <c r="P550" s="5"/>
      <c r="Q550" s="5"/>
      <c r="R550" s="1"/>
      <c r="S550" s="1"/>
      <c r="T550" s="1"/>
      <c r="U550" s="1"/>
      <c r="V550" s="1"/>
      <c r="W550" s="1"/>
      <c r="X550" s="1"/>
      <c r="Y550" s="1"/>
      <c r="Z550" s="1"/>
      <c r="AA550" s="1"/>
      <c r="AB550" s="1"/>
      <c r="AC550" s="1"/>
      <c r="AD550" s="1"/>
      <c r="AE550" s="1"/>
    </row>
    <row r="551" spans="1:31" x14ac:dyDescent="0.25">
      <c r="A551" s="1"/>
      <c r="B551" s="1"/>
      <c r="C551" s="5"/>
      <c r="D551" s="5"/>
      <c r="E551" s="1"/>
      <c r="F551" s="1"/>
      <c r="G551" s="1"/>
      <c r="H551" s="1"/>
      <c r="I551" s="1"/>
      <c r="J551" s="1"/>
      <c r="K551" s="1"/>
      <c r="L551" s="1"/>
      <c r="M551" s="1"/>
      <c r="N551" s="1"/>
      <c r="O551" s="5"/>
      <c r="P551" s="5"/>
      <c r="Q551" s="5"/>
      <c r="R551" s="1"/>
      <c r="S551" s="1"/>
      <c r="T551" s="1"/>
      <c r="U551" s="1"/>
      <c r="V551" s="1"/>
      <c r="W551" s="1"/>
      <c r="X551" s="1"/>
      <c r="Y551" s="1"/>
      <c r="Z551" s="1"/>
      <c r="AA551" s="1"/>
      <c r="AB551" s="1"/>
      <c r="AC551" s="1"/>
      <c r="AD551" s="1"/>
      <c r="AE551" s="1"/>
    </row>
    <row r="552" spans="1:31" x14ac:dyDescent="0.25">
      <c r="A552" s="1"/>
      <c r="B552" s="1"/>
      <c r="C552" s="5"/>
      <c r="D552" s="5"/>
      <c r="E552" s="1"/>
      <c r="F552" s="1"/>
      <c r="G552" s="1"/>
      <c r="H552" s="1"/>
      <c r="I552" s="1"/>
      <c r="J552" s="1"/>
      <c r="K552" s="1"/>
      <c r="L552" s="1"/>
      <c r="M552" s="1"/>
      <c r="N552" s="1"/>
      <c r="O552" s="5"/>
      <c r="P552" s="5"/>
      <c r="Q552" s="5"/>
      <c r="R552" s="1"/>
      <c r="S552" s="1"/>
      <c r="T552" s="1"/>
      <c r="U552" s="1"/>
      <c r="V552" s="1"/>
      <c r="W552" s="1"/>
      <c r="X552" s="1"/>
      <c r="Y552" s="1"/>
      <c r="Z552" s="1"/>
      <c r="AA552" s="1"/>
      <c r="AB552" s="1"/>
      <c r="AC552" s="1"/>
      <c r="AD552" s="1"/>
      <c r="AE552" s="1"/>
    </row>
    <row r="553" spans="1:31" x14ac:dyDescent="0.25">
      <c r="A553" s="1"/>
      <c r="B553" s="1"/>
      <c r="C553" s="5"/>
      <c r="D553" s="5"/>
      <c r="E553" s="1"/>
      <c r="F553" s="1"/>
      <c r="G553" s="1"/>
      <c r="H553" s="1"/>
      <c r="I553" s="1"/>
      <c r="J553" s="1"/>
      <c r="K553" s="1"/>
      <c r="L553" s="1"/>
      <c r="M553" s="1"/>
      <c r="N553" s="1"/>
      <c r="O553" s="5"/>
      <c r="P553" s="5"/>
      <c r="Q553" s="5"/>
      <c r="R553" s="1"/>
      <c r="S553" s="1"/>
      <c r="T553" s="1"/>
      <c r="U553" s="1"/>
      <c r="V553" s="1"/>
      <c r="W553" s="1"/>
      <c r="X553" s="1"/>
      <c r="Y553" s="1"/>
      <c r="Z553" s="1"/>
      <c r="AA553" s="1"/>
      <c r="AB553" s="1"/>
      <c r="AC553" s="1"/>
      <c r="AD553" s="1"/>
      <c r="AE553" s="1"/>
    </row>
    <row r="554" spans="1:31" x14ac:dyDescent="0.25">
      <c r="A554" s="1"/>
      <c r="B554" s="1"/>
      <c r="C554" s="5"/>
      <c r="D554" s="5"/>
      <c r="E554" s="1"/>
      <c r="F554" s="1"/>
      <c r="G554" s="1"/>
      <c r="H554" s="1"/>
      <c r="I554" s="1"/>
      <c r="J554" s="1"/>
      <c r="K554" s="1"/>
      <c r="L554" s="1"/>
      <c r="M554" s="1"/>
      <c r="N554" s="1"/>
      <c r="O554" s="5"/>
      <c r="P554" s="5"/>
      <c r="Q554" s="5"/>
      <c r="R554" s="1"/>
      <c r="S554" s="1"/>
      <c r="T554" s="1"/>
      <c r="U554" s="1"/>
      <c r="V554" s="1"/>
      <c r="W554" s="1"/>
      <c r="X554" s="1"/>
      <c r="Y554" s="1"/>
      <c r="Z554" s="1"/>
      <c r="AA554" s="1"/>
      <c r="AB554" s="1"/>
      <c r="AC554" s="1"/>
      <c r="AD554" s="1"/>
      <c r="AE554" s="1"/>
    </row>
    <row r="555" spans="1:31" x14ac:dyDescent="0.25">
      <c r="A555" s="1"/>
      <c r="B555" s="1"/>
      <c r="C555" s="5"/>
      <c r="D555" s="5"/>
      <c r="E555" s="1"/>
      <c r="F555" s="1"/>
      <c r="G555" s="1"/>
      <c r="H555" s="1"/>
      <c r="I555" s="1"/>
      <c r="J555" s="1"/>
      <c r="K555" s="1"/>
      <c r="L555" s="1"/>
      <c r="M555" s="1"/>
      <c r="N555" s="1"/>
      <c r="O555" s="5"/>
      <c r="P555" s="5"/>
      <c r="Q555" s="5"/>
      <c r="R555" s="1"/>
      <c r="S555" s="1"/>
      <c r="T555" s="1"/>
      <c r="U555" s="1"/>
      <c r="V555" s="1"/>
      <c r="W555" s="1"/>
      <c r="X555" s="1"/>
      <c r="Y555" s="1"/>
      <c r="Z555" s="1"/>
      <c r="AA555" s="1"/>
      <c r="AB555" s="1"/>
      <c r="AC555" s="1"/>
      <c r="AD555" s="1"/>
      <c r="AE555" s="1"/>
    </row>
    <row r="556" spans="1:31" x14ac:dyDescent="0.25">
      <c r="A556" s="1"/>
      <c r="B556" s="1"/>
      <c r="C556" s="5"/>
      <c r="D556" s="5"/>
      <c r="E556" s="1"/>
      <c r="F556" s="1"/>
      <c r="G556" s="1"/>
      <c r="H556" s="1"/>
      <c r="I556" s="1"/>
      <c r="J556" s="1"/>
      <c r="K556" s="1"/>
      <c r="L556" s="1"/>
      <c r="M556" s="1"/>
      <c r="N556" s="1"/>
      <c r="O556" s="5"/>
      <c r="P556" s="5"/>
      <c r="Q556" s="5"/>
      <c r="R556" s="1"/>
      <c r="S556" s="1"/>
      <c r="T556" s="1"/>
      <c r="U556" s="1"/>
      <c r="V556" s="1"/>
      <c r="W556" s="1"/>
      <c r="X556" s="1"/>
      <c r="Y556" s="1"/>
      <c r="Z556" s="1"/>
      <c r="AA556" s="1"/>
      <c r="AB556" s="1"/>
      <c r="AC556" s="1"/>
      <c r="AD556" s="1"/>
      <c r="AE556" s="1"/>
    </row>
    <row r="557" spans="1:31" x14ac:dyDescent="0.25">
      <c r="A557" s="1"/>
      <c r="B557" s="1"/>
      <c r="C557" s="5"/>
      <c r="D557" s="5"/>
      <c r="E557" s="1"/>
      <c r="F557" s="1"/>
      <c r="G557" s="1"/>
      <c r="H557" s="1"/>
      <c r="I557" s="1"/>
      <c r="J557" s="1"/>
      <c r="K557" s="1"/>
      <c r="L557" s="1"/>
      <c r="M557" s="1"/>
      <c r="N557" s="1"/>
      <c r="O557" s="5"/>
      <c r="P557" s="5"/>
      <c r="Q557" s="5"/>
      <c r="R557" s="1"/>
      <c r="S557" s="1"/>
      <c r="T557" s="1"/>
      <c r="U557" s="1"/>
      <c r="V557" s="1"/>
      <c r="W557" s="1"/>
      <c r="X557" s="1"/>
      <c r="Y557" s="1"/>
      <c r="Z557" s="1"/>
      <c r="AA557" s="1"/>
      <c r="AB557" s="1"/>
      <c r="AC557" s="1"/>
      <c r="AD557" s="1"/>
      <c r="AE557" s="1"/>
    </row>
    <row r="558" spans="1:31" x14ac:dyDescent="0.25">
      <c r="A558" s="1"/>
      <c r="B558" s="1"/>
      <c r="C558" s="5"/>
      <c r="D558" s="5"/>
      <c r="E558" s="1"/>
      <c r="F558" s="1"/>
      <c r="G558" s="1"/>
      <c r="H558" s="1"/>
      <c r="I558" s="1"/>
      <c r="J558" s="1"/>
      <c r="K558" s="1"/>
      <c r="L558" s="1"/>
      <c r="M558" s="1"/>
      <c r="N558" s="1"/>
      <c r="O558" s="5"/>
      <c r="P558" s="5"/>
      <c r="Q558" s="5"/>
      <c r="R558" s="1"/>
      <c r="S558" s="1"/>
      <c r="T558" s="1"/>
      <c r="U558" s="1"/>
      <c r="V558" s="1"/>
      <c r="W558" s="1"/>
      <c r="X558" s="1"/>
      <c r="Y558" s="1"/>
      <c r="Z558" s="1"/>
      <c r="AA558" s="1"/>
      <c r="AB558" s="1"/>
      <c r="AC558" s="1"/>
      <c r="AD558" s="1"/>
      <c r="AE558" s="1"/>
    </row>
    <row r="559" spans="1:31" x14ac:dyDescent="0.25">
      <c r="A559" s="1"/>
      <c r="B559" s="1"/>
      <c r="C559" s="5"/>
      <c r="D559" s="5"/>
      <c r="E559" s="1"/>
      <c r="F559" s="1"/>
      <c r="G559" s="1"/>
      <c r="H559" s="1"/>
      <c r="I559" s="1"/>
      <c r="J559" s="1"/>
      <c r="K559" s="1"/>
      <c r="L559" s="1"/>
      <c r="M559" s="1"/>
      <c r="N559" s="1"/>
      <c r="O559" s="5"/>
      <c r="P559" s="5"/>
      <c r="Q559" s="5"/>
      <c r="R559" s="1"/>
      <c r="S559" s="1"/>
      <c r="T559" s="1"/>
      <c r="U559" s="1"/>
      <c r="V559" s="1"/>
      <c r="W559" s="1"/>
      <c r="X559" s="1"/>
      <c r="Y559" s="1"/>
      <c r="Z559" s="1"/>
      <c r="AA559" s="1"/>
      <c r="AB559" s="1"/>
      <c r="AC559" s="1"/>
      <c r="AD559" s="1"/>
      <c r="AE559" s="1"/>
    </row>
    <row r="560" spans="1:31" x14ac:dyDescent="0.25">
      <c r="A560" s="1"/>
      <c r="B560" s="1"/>
      <c r="C560" s="5"/>
      <c r="D560" s="5"/>
      <c r="E560" s="1"/>
      <c r="F560" s="1"/>
      <c r="G560" s="1"/>
      <c r="H560" s="1"/>
      <c r="I560" s="1"/>
      <c r="J560" s="1"/>
      <c r="K560" s="1"/>
      <c r="L560" s="1"/>
      <c r="M560" s="1"/>
      <c r="N560" s="1"/>
      <c r="O560" s="5"/>
      <c r="P560" s="5"/>
      <c r="Q560" s="5"/>
      <c r="R560" s="1"/>
      <c r="S560" s="1"/>
      <c r="T560" s="1"/>
      <c r="U560" s="1"/>
      <c r="V560" s="1"/>
      <c r="W560" s="1"/>
      <c r="X560" s="1"/>
      <c r="Y560" s="1"/>
      <c r="Z560" s="1"/>
      <c r="AA560" s="1"/>
      <c r="AB560" s="1"/>
      <c r="AC560" s="1"/>
      <c r="AD560" s="1"/>
      <c r="AE560" s="1"/>
    </row>
    <row r="561" spans="1:31" x14ac:dyDescent="0.25">
      <c r="A561" s="1"/>
      <c r="B561" s="1"/>
      <c r="C561" s="5"/>
      <c r="D561" s="5"/>
      <c r="E561" s="1"/>
      <c r="F561" s="1"/>
      <c r="G561" s="1"/>
      <c r="H561" s="1"/>
      <c r="I561" s="1"/>
      <c r="J561" s="1"/>
      <c r="K561" s="1"/>
      <c r="L561" s="1"/>
      <c r="M561" s="1"/>
      <c r="N561" s="1"/>
      <c r="O561" s="5"/>
      <c r="P561" s="5"/>
      <c r="Q561" s="5"/>
      <c r="R561" s="1"/>
      <c r="S561" s="1"/>
      <c r="T561" s="1"/>
      <c r="U561" s="1"/>
      <c r="V561" s="1"/>
      <c r="W561" s="1"/>
      <c r="X561" s="1"/>
      <c r="Y561" s="1"/>
      <c r="Z561" s="1"/>
      <c r="AA561" s="1"/>
      <c r="AB561" s="1"/>
      <c r="AC561" s="1"/>
      <c r="AD561" s="1"/>
      <c r="AE561" s="1"/>
    </row>
    <row r="562" spans="1:31" x14ac:dyDescent="0.25">
      <c r="A562" s="1"/>
      <c r="B562" s="1"/>
      <c r="C562" s="5"/>
      <c r="D562" s="5"/>
      <c r="E562" s="1"/>
      <c r="F562" s="1"/>
      <c r="G562" s="1"/>
      <c r="H562" s="1"/>
      <c r="I562" s="1"/>
      <c r="J562" s="1"/>
      <c r="K562" s="1"/>
      <c r="L562" s="1"/>
      <c r="M562" s="1"/>
      <c r="N562" s="1"/>
      <c r="O562" s="5"/>
      <c r="P562" s="5"/>
      <c r="Q562" s="5"/>
      <c r="R562" s="1"/>
      <c r="S562" s="1"/>
      <c r="T562" s="1"/>
      <c r="U562" s="1"/>
      <c r="V562" s="1"/>
      <c r="W562" s="1"/>
      <c r="X562" s="1"/>
      <c r="Y562" s="1"/>
      <c r="Z562" s="1"/>
      <c r="AA562" s="1"/>
      <c r="AB562" s="1"/>
      <c r="AC562" s="1"/>
      <c r="AD562" s="1"/>
      <c r="AE562" s="1"/>
    </row>
    <row r="563" spans="1:31" x14ac:dyDescent="0.25">
      <c r="A563" s="1"/>
      <c r="B563" s="1"/>
      <c r="C563" s="5"/>
      <c r="D563" s="5"/>
      <c r="E563" s="1"/>
      <c r="F563" s="1"/>
      <c r="G563" s="1"/>
      <c r="H563" s="1"/>
      <c r="I563" s="1"/>
      <c r="J563" s="1"/>
      <c r="K563" s="1"/>
      <c r="L563" s="1"/>
      <c r="M563" s="1"/>
      <c r="N563" s="1"/>
      <c r="O563" s="5"/>
      <c r="P563" s="5"/>
      <c r="Q563" s="5"/>
      <c r="R563" s="1"/>
      <c r="S563" s="1"/>
      <c r="T563" s="1"/>
      <c r="U563" s="1"/>
      <c r="V563" s="1"/>
      <c r="W563" s="1"/>
      <c r="X563" s="1"/>
      <c r="Y563" s="1"/>
      <c r="Z563" s="1"/>
      <c r="AA563" s="1"/>
      <c r="AB563" s="1"/>
      <c r="AC563" s="1"/>
      <c r="AD563" s="1"/>
      <c r="AE563" s="1"/>
    </row>
    <row r="564" spans="1:31" x14ac:dyDescent="0.25">
      <c r="A564" s="1"/>
      <c r="B564" s="1"/>
      <c r="C564" s="5"/>
      <c r="D564" s="5"/>
      <c r="E564" s="1"/>
      <c r="F564" s="1"/>
      <c r="G564" s="1"/>
      <c r="H564" s="1"/>
      <c r="I564" s="1"/>
      <c r="J564" s="1"/>
      <c r="K564" s="1"/>
      <c r="L564" s="1"/>
      <c r="M564" s="1"/>
      <c r="N564" s="1"/>
      <c r="O564" s="5"/>
      <c r="P564" s="5"/>
      <c r="Q564" s="5"/>
      <c r="R564" s="1"/>
      <c r="S564" s="1"/>
      <c r="T564" s="1"/>
      <c r="U564" s="1"/>
      <c r="V564" s="1"/>
      <c r="W564" s="1"/>
      <c r="X564" s="1"/>
      <c r="Y564" s="1"/>
      <c r="Z564" s="1"/>
      <c r="AA564" s="1"/>
      <c r="AB564" s="1"/>
      <c r="AC564" s="1"/>
      <c r="AD564" s="1"/>
      <c r="AE564" s="1"/>
    </row>
    <row r="565" spans="1:31" x14ac:dyDescent="0.25">
      <c r="A565" s="1"/>
      <c r="B565" s="1"/>
      <c r="C565" s="5"/>
      <c r="D565" s="5"/>
      <c r="E565" s="1"/>
      <c r="F565" s="1"/>
      <c r="G565" s="1"/>
      <c r="H565" s="1"/>
      <c r="I565" s="1"/>
      <c r="J565" s="1"/>
      <c r="K565" s="1"/>
      <c r="L565" s="1"/>
      <c r="M565" s="1"/>
      <c r="N565" s="1"/>
      <c r="O565" s="5"/>
      <c r="P565" s="5"/>
      <c r="Q565" s="5"/>
      <c r="R565" s="1"/>
      <c r="S565" s="1"/>
      <c r="T565" s="1"/>
      <c r="U565" s="1"/>
      <c r="V565" s="1"/>
      <c r="W565" s="1"/>
      <c r="X565" s="1"/>
      <c r="Y565" s="1"/>
      <c r="Z565" s="1"/>
      <c r="AA565" s="1"/>
      <c r="AB565" s="1"/>
      <c r="AC565" s="1"/>
      <c r="AD565" s="1"/>
      <c r="AE565" s="1"/>
    </row>
    <row r="566" spans="1:31" x14ac:dyDescent="0.25">
      <c r="A566" s="1"/>
      <c r="B566" s="1"/>
      <c r="C566" s="5"/>
      <c r="D566" s="5"/>
      <c r="E566" s="1"/>
      <c r="F566" s="1"/>
      <c r="G566" s="1"/>
      <c r="H566" s="1"/>
      <c r="I566" s="1"/>
      <c r="J566" s="1"/>
      <c r="K566" s="1"/>
      <c r="L566" s="1"/>
      <c r="M566" s="1"/>
      <c r="N566" s="1"/>
      <c r="O566" s="5"/>
      <c r="P566" s="5"/>
      <c r="Q566" s="5"/>
      <c r="R566" s="1"/>
      <c r="S566" s="1"/>
      <c r="T566" s="1"/>
      <c r="U566" s="1"/>
      <c r="V566" s="1"/>
      <c r="W566" s="1"/>
      <c r="X566" s="1"/>
      <c r="Y566" s="1"/>
      <c r="Z566" s="1"/>
      <c r="AA566" s="1"/>
      <c r="AB566" s="1"/>
      <c r="AC566" s="1"/>
      <c r="AD566" s="1"/>
      <c r="AE566" s="1"/>
    </row>
    <row r="567" spans="1:31" x14ac:dyDescent="0.25">
      <c r="A567" s="1"/>
      <c r="B567" s="1"/>
      <c r="C567" s="5"/>
      <c r="D567" s="5"/>
      <c r="E567" s="1"/>
      <c r="F567" s="1"/>
      <c r="G567" s="1"/>
      <c r="H567" s="1"/>
      <c r="I567" s="1"/>
      <c r="J567" s="1"/>
      <c r="K567" s="1"/>
      <c r="L567" s="1"/>
      <c r="M567" s="1"/>
      <c r="N567" s="1"/>
      <c r="O567" s="5"/>
      <c r="P567" s="5"/>
      <c r="Q567" s="5"/>
      <c r="R567" s="1"/>
      <c r="S567" s="1"/>
      <c r="T567" s="1"/>
      <c r="U567" s="1"/>
      <c r="V567" s="1"/>
      <c r="W567" s="1"/>
      <c r="X567" s="1"/>
      <c r="Y567" s="1"/>
      <c r="Z567" s="1"/>
      <c r="AA567" s="1"/>
      <c r="AB567" s="1"/>
      <c r="AC567" s="1"/>
      <c r="AD567" s="1"/>
      <c r="AE567" s="1"/>
    </row>
    <row r="568" spans="1:31" x14ac:dyDescent="0.25">
      <c r="A568" s="1"/>
      <c r="B568" s="1"/>
      <c r="C568" s="5"/>
      <c r="D568" s="5"/>
      <c r="E568" s="1"/>
      <c r="F568" s="1"/>
      <c r="G568" s="1"/>
      <c r="H568" s="1"/>
      <c r="I568" s="1"/>
      <c r="J568" s="1"/>
      <c r="K568" s="1"/>
      <c r="L568" s="1"/>
      <c r="M568" s="1"/>
      <c r="N568" s="1"/>
      <c r="O568" s="5"/>
      <c r="P568" s="5"/>
      <c r="Q568" s="5"/>
      <c r="R568" s="1"/>
      <c r="S568" s="1"/>
      <c r="T568" s="1"/>
      <c r="U568" s="1"/>
      <c r="V568" s="1"/>
      <c r="W568" s="1"/>
      <c r="X568" s="1"/>
      <c r="Y568" s="1"/>
      <c r="Z568" s="1"/>
      <c r="AA568" s="1"/>
      <c r="AB568" s="1"/>
      <c r="AC568" s="1"/>
      <c r="AD568" s="1"/>
      <c r="AE568" s="1"/>
    </row>
    <row r="569" spans="1:31" x14ac:dyDescent="0.25">
      <c r="A569" s="1"/>
      <c r="B569" s="1"/>
      <c r="C569" s="5"/>
      <c r="D569" s="5"/>
      <c r="E569" s="1"/>
      <c r="F569" s="1"/>
      <c r="G569" s="1"/>
      <c r="H569" s="1"/>
      <c r="I569" s="1"/>
      <c r="J569" s="1"/>
      <c r="K569" s="1"/>
      <c r="L569" s="1"/>
      <c r="M569" s="1"/>
      <c r="N569" s="1"/>
      <c r="O569" s="5"/>
      <c r="P569" s="5"/>
      <c r="Q569" s="5"/>
      <c r="R569" s="1"/>
      <c r="S569" s="1"/>
      <c r="T569" s="1"/>
      <c r="U569" s="1"/>
      <c r="V569" s="1"/>
      <c r="W569" s="1"/>
      <c r="X569" s="1"/>
      <c r="Y569" s="1"/>
      <c r="Z569" s="1"/>
      <c r="AA569" s="1"/>
      <c r="AB569" s="1"/>
      <c r="AC569" s="1"/>
      <c r="AD569" s="1"/>
      <c r="AE569" s="1"/>
    </row>
    <row r="570" spans="1:31" x14ac:dyDescent="0.25">
      <c r="A570" s="1"/>
      <c r="B570" s="1"/>
      <c r="C570" s="5"/>
      <c r="D570" s="5"/>
      <c r="E570" s="1"/>
      <c r="F570" s="1"/>
      <c r="G570" s="1"/>
      <c r="H570" s="1"/>
      <c r="I570" s="1"/>
      <c r="J570" s="1"/>
      <c r="K570" s="1"/>
      <c r="L570" s="1"/>
      <c r="M570" s="1"/>
      <c r="N570" s="1"/>
      <c r="O570" s="5"/>
      <c r="P570" s="5"/>
      <c r="Q570" s="5"/>
      <c r="R570" s="1"/>
      <c r="S570" s="1"/>
      <c r="T570" s="1"/>
      <c r="U570" s="1"/>
      <c r="V570" s="1"/>
      <c r="W570" s="1"/>
      <c r="X570" s="1"/>
      <c r="Y570" s="1"/>
      <c r="Z570" s="1"/>
      <c r="AA570" s="1"/>
      <c r="AB570" s="1"/>
      <c r="AC570" s="1"/>
      <c r="AD570" s="1"/>
      <c r="AE570" s="1"/>
    </row>
    <row r="571" spans="1:31" x14ac:dyDescent="0.25">
      <c r="A571" s="1"/>
      <c r="B571" s="1"/>
      <c r="C571" s="5"/>
      <c r="D571" s="5"/>
      <c r="E571" s="1"/>
      <c r="F571" s="1"/>
      <c r="G571" s="1"/>
      <c r="H571" s="1"/>
      <c r="I571" s="1"/>
      <c r="J571" s="1"/>
      <c r="K571" s="1"/>
      <c r="L571" s="1"/>
      <c r="M571" s="1"/>
      <c r="N571" s="1"/>
      <c r="O571" s="5"/>
      <c r="P571" s="5"/>
      <c r="Q571" s="5"/>
      <c r="R571" s="1"/>
      <c r="S571" s="1"/>
      <c r="T571" s="1"/>
      <c r="U571" s="1"/>
      <c r="V571" s="1"/>
      <c r="W571" s="1"/>
      <c r="X571" s="1"/>
      <c r="Y571" s="1"/>
      <c r="Z571" s="1"/>
      <c r="AA571" s="1"/>
      <c r="AB571" s="1"/>
      <c r="AC571" s="1"/>
      <c r="AD571" s="1"/>
      <c r="AE571" s="1"/>
    </row>
    <row r="572" spans="1:31" x14ac:dyDescent="0.25">
      <c r="A572" s="1"/>
      <c r="B572" s="1"/>
      <c r="C572" s="5"/>
      <c r="D572" s="5"/>
      <c r="E572" s="1"/>
      <c r="F572" s="1"/>
      <c r="G572" s="1"/>
      <c r="H572" s="1"/>
      <c r="I572" s="1"/>
      <c r="J572" s="1"/>
      <c r="K572" s="1"/>
      <c r="L572" s="1"/>
      <c r="M572" s="1"/>
      <c r="N572" s="1"/>
      <c r="O572" s="5"/>
      <c r="P572" s="5"/>
      <c r="Q572" s="5"/>
      <c r="R572" s="1"/>
      <c r="S572" s="1"/>
      <c r="T572" s="1"/>
      <c r="U572" s="1"/>
      <c r="V572" s="1"/>
      <c r="W572" s="1"/>
      <c r="X572" s="1"/>
      <c r="Y572" s="1"/>
      <c r="Z572" s="1"/>
      <c r="AA572" s="1"/>
      <c r="AB572" s="1"/>
      <c r="AC572" s="1"/>
      <c r="AD572" s="1"/>
      <c r="AE572" s="1"/>
    </row>
    <row r="573" spans="1:31" x14ac:dyDescent="0.25">
      <c r="A573" s="1"/>
      <c r="B573" s="1"/>
      <c r="C573" s="5"/>
      <c r="D573" s="5"/>
      <c r="E573" s="1"/>
      <c r="F573" s="1"/>
      <c r="G573" s="1"/>
      <c r="H573" s="1"/>
      <c r="I573" s="1"/>
      <c r="J573" s="1"/>
      <c r="K573" s="1"/>
      <c r="L573" s="1"/>
      <c r="M573" s="1"/>
      <c r="N573" s="1"/>
      <c r="O573" s="5"/>
      <c r="P573" s="5"/>
      <c r="Q573" s="5"/>
      <c r="R573" s="1"/>
      <c r="S573" s="1"/>
      <c r="T573" s="1"/>
      <c r="U573" s="1"/>
      <c r="V573" s="1"/>
      <c r="W573" s="1"/>
      <c r="X573" s="1"/>
      <c r="Y573" s="1"/>
      <c r="Z573" s="1"/>
      <c r="AA573" s="1"/>
      <c r="AB573" s="1"/>
      <c r="AC573" s="1"/>
      <c r="AD573" s="1"/>
      <c r="AE573" s="1"/>
    </row>
    <row r="574" spans="1:31" x14ac:dyDescent="0.25">
      <c r="A574" s="1"/>
      <c r="B574" s="1"/>
      <c r="C574" s="5"/>
      <c r="D574" s="5"/>
      <c r="E574" s="1"/>
      <c r="F574" s="1"/>
      <c r="G574" s="1"/>
      <c r="H574" s="1"/>
      <c r="I574" s="1"/>
      <c r="J574" s="1"/>
      <c r="K574" s="1"/>
      <c r="L574" s="1"/>
      <c r="M574" s="1"/>
      <c r="N574" s="1"/>
      <c r="O574" s="5"/>
      <c r="P574" s="5"/>
      <c r="Q574" s="5"/>
      <c r="R574" s="1"/>
      <c r="S574" s="1"/>
      <c r="T574" s="1"/>
      <c r="U574" s="1"/>
      <c r="V574" s="1"/>
      <c r="W574" s="1"/>
      <c r="X574" s="1"/>
      <c r="Y574" s="1"/>
      <c r="Z574" s="1"/>
      <c r="AA574" s="1"/>
      <c r="AB574" s="1"/>
      <c r="AC574" s="1"/>
      <c r="AD574" s="1"/>
      <c r="AE574" s="1"/>
    </row>
    <row r="575" spans="1:31" x14ac:dyDescent="0.25">
      <c r="A575" s="1"/>
      <c r="B575" s="1"/>
      <c r="C575" s="5"/>
      <c r="D575" s="5"/>
      <c r="E575" s="1"/>
      <c r="F575" s="1"/>
      <c r="G575" s="1"/>
      <c r="H575" s="1"/>
      <c r="I575" s="1"/>
      <c r="J575" s="1"/>
      <c r="K575" s="1"/>
      <c r="L575" s="1"/>
      <c r="M575" s="1"/>
      <c r="N575" s="1"/>
      <c r="O575" s="5"/>
      <c r="P575" s="5"/>
      <c r="Q575" s="5"/>
      <c r="R575" s="1"/>
      <c r="S575" s="1"/>
      <c r="T575" s="1"/>
      <c r="U575" s="1"/>
      <c r="V575" s="1"/>
      <c r="W575" s="1"/>
      <c r="X575" s="1"/>
      <c r="Y575" s="1"/>
      <c r="Z575" s="1"/>
      <c r="AA575" s="1"/>
      <c r="AB575" s="1"/>
      <c r="AC575" s="1"/>
      <c r="AD575" s="1"/>
      <c r="AE575" s="1"/>
    </row>
    <row r="576" spans="1:31" x14ac:dyDescent="0.25">
      <c r="A576" s="1"/>
      <c r="B576" s="1"/>
      <c r="C576" s="5"/>
      <c r="D576" s="5"/>
      <c r="E576" s="1"/>
      <c r="F576" s="1"/>
      <c r="G576" s="1"/>
      <c r="H576" s="1"/>
      <c r="I576" s="1"/>
      <c r="J576" s="1"/>
      <c r="K576" s="1"/>
      <c r="L576" s="1"/>
      <c r="M576" s="1"/>
      <c r="N576" s="1"/>
      <c r="O576" s="5"/>
      <c r="P576" s="5"/>
      <c r="Q576" s="5"/>
      <c r="R576" s="1"/>
      <c r="S576" s="1"/>
      <c r="T576" s="1"/>
      <c r="U576" s="1"/>
      <c r="V576" s="1"/>
      <c r="W576" s="1"/>
      <c r="X576" s="1"/>
      <c r="Y576" s="1"/>
      <c r="Z576" s="1"/>
      <c r="AA576" s="1"/>
      <c r="AB576" s="1"/>
      <c r="AC576" s="1"/>
      <c r="AD576" s="1"/>
      <c r="AE576" s="1"/>
    </row>
    <row r="577" spans="1:31" x14ac:dyDescent="0.25">
      <c r="A577" s="1"/>
      <c r="B577" s="1"/>
      <c r="C577" s="5"/>
      <c r="D577" s="5"/>
      <c r="E577" s="1"/>
      <c r="F577" s="1"/>
      <c r="G577" s="1"/>
      <c r="H577" s="1"/>
      <c r="I577" s="1"/>
      <c r="J577" s="1"/>
      <c r="K577" s="1"/>
      <c r="L577" s="1"/>
      <c r="M577" s="1"/>
      <c r="N577" s="1"/>
      <c r="O577" s="5"/>
      <c r="P577" s="5"/>
      <c r="Q577" s="5"/>
      <c r="R577" s="1"/>
      <c r="S577" s="1"/>
      <c r="T577" s="1"/>
      <c r="U577" s="1"/>
      <c r="V577" s="1"/>
      <c r="W577" s="1"/>
      <c r="X577" s="1"/>
      <c r="Y577" s="1"/>
      <c r="Z577" s="1"/>
      <c r="AA577" s="1"/>
      <c r="AB577" s="1"/>
      <c r="AC577" s="1"/>
      <c r="AD577" s="1"/>
      <c r="AE577" s="1"/>
    </row>
    <row r="578" spans="1:31" x14ac:dyDescent="0.25">
      <c r="A578" s="1"/>
      <c r="B578" s="1"/>
      <c r="C578" s="5"/>
      <c r="D578" s="5"/>
      <c r="E578" s="1"/>
      <c r="F578" s="1"/>
      <c r="G578" s="1"/>
      <c r="H578" s="1"/>
      <c r="I578" s="1"/>
      <c r="J578" s="1"/>
      <c r="K578" s="1"/>
      <c r="L578" s="1"/>
      <c r="M578" s="1"/>
      <c r="N578" s="1"/>
      <c r="O578" s="5"/>
      <c r="P578" s="5"/>
      <c r="Q578" s="5"/>
      <c r="R578" s="1"/>
      <c r="S578" s="1"/>
      <c r="T578" s="1"/>
      <c r="U578" s="1"/>
      <c r="V578" s="1"/>
      <c r="W578" s="1"/>
      <c r="X578" s="1"/>
      <c r="Y578" s="1"/>
      <c r="Z578" s="1"/>
      <c r="AA578" s="1"/>
      <c r="AB578" s="1"/>
      <c r="AC578" s="1"/>
      <c r="AD578" s="1"/>
      <c r="AE578" s="1"/>
    </row>
    <row r="579" spans="1:31" x14ac:dyDescent="0.25">
      <c r="A579" s="1"/>
      <c r="B579" s="1"/>
      <c r="C579" s="5"/>
      <c r="D579" s="5"/>
      <c r="E579" s="1"/>
      <c r="F579" s="1"/>
      <c r="G579" s="1"/>
      <c r="H579" s="1"/>
      <c r="I579" s="1"/>
      <c r="J579" s="1"/>
      <c r="K579" s="1"/>
      <c r="L579" s="1"/>
      <c r="M579" s="1"/>
      <c r="N579" s="1"/>
      <c r="O579" s="5"/>
      <c r="P579" s="5"/>
      <c r="Q579" s="5"/>
      <c r="R579" s="1"/>
      <c r="S579" s="1"/>
      <c r="T579" s="1"/>
      <c r="U579" s="1"/>
      <c r="V579" s="1"/>
      <c r="W579" s="1"/>
      <c r="X579" s="1"/>
      <c r="Y579" s="1"/>
      <c r="Z579" s="1"/>
      <c r="AA579" s="1"/>
      <c r="AB579" s="1"/>
      <c r="AC579" s="1"/>
      <c r="AD579" s="1"/>
      <c r="AE579" s="1"/>
    </row>
    <row r="580" spans="1:31" x14ac:dyDescent="0.25">
      <c r="A580" s="1"/>
      <c r="B580" s="1"/>
      <c r="C580" s="5"/>
      <c r="D580" s="5"/>
      <c r="E580" s="1"/>
      <c r="F580" s="1"/>
      <c r="G580" s="1"/>
      <c r="H580" s="1"/>
      <c r="I580" s="1"/>
      <c r="J580" s="1"/>
      <c r="K580" s="1"/>
      <c r="L580" s="1"/>
      <c r="M580" s="1"/>
      <c r="N580" s="1"/>
      <c r="O580" s="5"/>
      <c r="P580" s="5"/>
      <c r="Q580" s="5"/>
      <c r="R580" s="1"/>
      <c r="S580" s="1"/>
      <c r="T580" s="1"/>
      <c r="U580" s="1"/>
      <c r="V580" s="1"/>
      <c r="W580" s="1"/>
      <c r="X580" s="1"/>
      <c r="Y580" s="1"/>
      <c r="Z580" s="1"/>
      <c r="AA580" s="1"/>
      <c r="AB580" s="1"/>
      <c r="AC580" s="1"/>
      <c r="AD580" s="1"/>
      <c r="AE580" s="1"/>
    </row>
    <row r="581" spans="1:31" x14ac:dyDescent="0.25">
      <c r="A581" s="1"/>
      <c r="B581" s="1"/>
      <c r="C581" s="5"/>
      <c r="D581" s="5"/>
      <c r="E581" s="1"/>
      <c r="F581" s="1"/>
      <c r="G581" s="1"/>
      <c r="H581" s="1"/>
      <c r="I581" s="1"/>
      <c r="J581" s="1"/>
      <c r="K581" s="1"/>
      <c r="L581" s="1"/>
      <c r="M581" s="1"/>
      <c r="N581" s="1"/>
      <c r="O581" s="5"/>
      <c r="P581" s="5"/>
      <c r="Q581" s="5"/>
      <c r="R581" s="1"/>
      <c r="S581" s="1"/>
      <c r="T581" s="1"/>
      <c r="U581" s="1"/>
      <c r="V581" s="1"/>
      <c r="W581" s="1"/>
      <c r="X581" s="1"/>
      <c r="Y581" s="1"/>
      <c r="Z581" s="1"/>
      <c r="AA581" s="1"/>
      <c r="AB581" s="1"/>
      <c r="AC581" s="1"/>
      <c r="AD581" s="1"/>
      <c r="AE581" s="1"/>
    </row>
    <row r="582" spans="1:31" x14ac:dyDescent="0.25">
      <c r="A582" s="1"/>
      <c r="B582" s="1"/>
      <c r="C582" s="5"/>
      <c r="D582" s="5"/>
      <c r="E582" s="1"/>
      <c r="F582" s="1"/>
      <c r="G582" s="1"/>
      <c r="H582" s="1"/>
      <c r="I582" s="1"/>
      <c r="J582" s="1"/>
      <c r="K582" s="1"/>
      <c r="L582" s="1"/>
      <c r="M582" s="1"/>
      <c r="N582" s="1"/>
      <c r="O582" s="5"/>
      <c r="P582" s="5"/>
      <c r="Q582" s="5"/>
      <c r="R582" s="1"/>
      <c r="S582" s="1"/>
      <c r="T582" s="1"/>
      <c r="U582" s="1"/>
      <c r="V582" s="1"/>
      <c r="W582" s="1"/>
      <c r="X582" s="1"/>
      <c r="Y582" s="1"/>
      <c r="Z582" s="1"/>
      <c r="AA582" s="1"/>
      <c r="AB582" s="1"/>
      <c r="AC582" s="1"/>
      <c r="AD582" s="1"/>
      <c r="AE582" s="1"/>
    </row>
    <row r="583" spans="1:31" x14ac:dyDescent="0.25">
      <c r="A583" s="1"/>
      <c r="B583" s="1"/>
      <c r="C583" s="5"/>
      <c r="D583" s="5"/>
      <c r="E583" s="1"/>
      <c r="F583" s="1"/>
      <c r="G583" s="1"/>
      <c r="H583" s="1"/>
      <c r="I583" s="1"/>
      <c r="J583" s="1"/>
      <c r="K583" s="1"/>
      <c r="L583" s="1"/>
      <c r="M583" s="1"/>
      <c r="N583" s="1"/>
      <c r="O583" s="5"/>
      <c r="P583" s="5"/>
      <c r="Q583" s="5"/>
      <c r="R583" s="1"/>
      <c r="S583" s="1"/>
      <c r="T583" s="1"/>
      <c r="U583" s="1"/>
      <c r="V583" s="1"/>
      <c r="W583" s="1"/>
      <c r="X583" s="1"/>
      <c r="Y583" s="1"/>
      <c r="Z583" s="1"/>
      <c r="AA583" s="1"/>
      <c r="AB583" s="1"/>
      <c r="AC583" s="1"/>
      <c r="AD583" s="1"/>
      <c r="AE583" s="1"/>
    </row>
    <row r="584" spans="1:31" x14ac:dyDescent="0.25">
      <c r="A584" s="1"/>
      <c r="B584" s="1"/>
      <c r="C584" s="5"/>
      <c r="D584" s="5"/>
      <c r="E584" s="1"/>
      <c r="F584" s="1"/>
      <c r="G584" s="1"/>
      <c r="H584" s="1"/>
      <c r="I584" s="1"/>
      <c r="J584" s="1"/>
      <c r="K584" s="1"/>
      <c r="L584" s="1"/>
      <c r="M584" s="1"/>
      <c r="N584" s="1"/>
      <c r="O584" s="5"/>
      <c r="P584" s="5"/>
      <c r="Q584" s="5"/>
      <c r="R584" s="1"/>
      <c r="S584" s="1"/>
      <c r="T584" s="1"/>
      <c r="U584" s="1"/>
      <c r="V584" s="1"/>
      <c r="W584" s="1"/>
      <c r="X584" s="1"/>
      <c r="Y584" s="1"/>
      <c r="Z584" s="1"/>
      <c r="AA584" s="1"/>
      <c r="AB584" s="1"/>
      <c r="AC584" s="1"/>
      <c r="AD584" s="1"/>
      <c r="AE584" s="1"/>
    </row>
    <row r="585" spans="1:31" x14ac:dyDescent="0.25">
      <c r="A585" s="1"/>
      <c r="B585" s="1"/>
      <c r="C585" s="5"/>
      <c r="D585" s="5"/>
      <c r="E585" s="1"/>
      <c r="F585" s="1"/>
      <c r="G585" s="1"/>
      <c r="H585" s="1"/>
      <c r="I585" s="1"/>
      <c r="J585" s="1"/>
      <c r="K585" s="1"/>
      <c r="L585" s="1"/>
      <c r="M585" s="1"/>
      <c r="N585" s="1"/>
      <c r="O585" s="5"/>
      <c r="P585" s="5"/>
      <c r="Q585" s="5"/>
      <c r="R585" s="1"/>
      <c r="S585" s="1"/>
      <c r="T585" s="1"/>
      <c r="U585" s="1"/>
      <c r="V585" s="1"/>
      <c r="W585" s="1"/>
      <c r="X585" s="1"/>
      <c r="Y585" s="1"/>
      <c r="Z585" s="1"/>
      <c r="AA585" s="1"/>
      <c r="AB585" s="1"/>
      <c r="AC585" s="1"/>
      <c r="AD585" s="1"/>
      <c r="AE585" s="1"/>
    </row>
    <row r="586" spans="1:31" x14ac:dyDescent="0.25">
      <c r="A586" s="1"/>
      <c r="B586" s="1"/>
      <c r="C586" s="5"/>
      <c r="D586" s="5"/>
      <c r="E586" s="1"/>
      <c r="F586" s="1"/>
      <c r="G586" s="1"/>
      <c r="H586" s="1"/>
      <c r="I586" s="1"/>
      <c r="J586" s="1"/>
      <c r="K586" s="1"/>
      <c r="L586" s="1"/>
      <c r="M586" s="1"/>
      <c r="N586" s="1"/>
      <c r="O586" s="5"/>
      <c r="P586" s="5"/>
      <c r="Q586" s="5"/>
      <c r="R586" s="1"/>
      <c r="S586" s="1"/>
      <c r="T586" s="1"/>
      <c r="U586" s="1"/>
      <c r="V586" s="1"/>
      <c r="W586" s="1"/>
      <c r="X586" s="1"/>
      <c r="Y586" s="1"/>
      <c r="Z586" s="1"/>
      <c r="AA586" s="1"/>
      <c r="AB586" s="1"/>
      <c r="AC586" s="1"/>
      <c r="AD586" s="1"/>
      <c r="AE586" s="1"/>
    </row>
    <row r="587" spans="1:31" x14ac:dyDescent="0.25">
      <c r="A587" s="1"/>
      <c r="B587" s="1"/>
      <c r="C587" s="5"/>
      <c r="D587" s="5"/>
      <c r="E587" s="1"/>
      <c r="F587" s="1"/>
      <c r="G587" s="1"/>
      <c r="H587" s="1"/>
      <c r="I587" s="1"/>
      <c r="J587" s="1"/>
      <c r="K587" s="1"/>
      <c r="L587" s="1"/>
      <c r="M587" s="1"/>
      <c r="N587" s="1"/>
      <c r="O587" s="5"/>
      <c r="P587" s="5"/>
      <c r="Q587" s="5"/>
      <c r="R587" s="1"/>
      <c r="S587" s="1"/>
      <c r="T587" s="1"/>
      <c r="U587" s="1"/>
      <c r="V587" s="1"/>
      <c r="W587" s="1"/>
      <c r="X587" s="1"/>
      <c r="Y587" s="1"/>
      <c r="Z587" s="1"/>
      <c r="AA587" s="1"/>
      <c r="AB587" s="1"/>
      <c r="AC587" s="1"/>
      <c r="AD587" s="1"/>
      <c r="AE587" s="1"/>
    </row>
    <row r="588" spans="1:31" x14ac:dyDescent="0.25">
      <c r="A588" s="1"/>
      <c r="B588" s="1"/>
      <c r="C588" s="5"/>
      <c r="D588" s="5"/>
      <c r="E588" s="1"/>
      <c r="F588" s="1"/>
      <c r="G588" s="1"/>
      <c r="H588" s="1"/>
      <c r="I588" s="1"/>
      <c r="J588" s="1"/>
      <c r="K588" s="1"/>
      <c r="L588" s="1"/>
      <c r="M588" s="1"/>
      <c r="N588" s="1"/>
      <c r="O588" s="5"/>
      <c r="P588" s="5"/>
      <c r="Q588" s="5"/>
      <c r="R588" s="1"/>
      <c r="S588" s="1"/>
      <c r="T588" s="1"/>
      <c r="U588" s="1"/>
      <c r="V588" s="1"/>
      <c r="W588" s="1"/>
      <c r="X588" s="1"/>
      <c r="Y588" s="1"/>
      <c r="Z588" s="1"/>
      <c r="AA588" s="1"/>
      <c r="AB588" s="1"/>
      <c r="AC588" s="1"/>
      <c r="AD588" s="1"/>
      <c r="AE588" s="1"/>
    </row>
    <row r="589" spans="1:31" x14ac:dyDescent="0.25">
      <c r="A589" s="1"/>
      <c r="B589" s="1"/>
      <c r="C589" s="5"/>
      <c r="D589" s="5"/>
      <c r="E589" s="1"/>
      <c r="F589" s="1"/>
      <c r="G589" s="1"/>
      <c r="H589" s="1"/>
      <c r="I589" s="1"/>
      <c r="J589" s="1"/>
      <c r="K589" s="1"/>
      <c r="L589" s="1"/>
      <c r="M589" s="1"/>
      <c r="N589" s="1"/>
      <c r="O589" s="5"/>
      <c r="P589" s="5"/>
      <c r="Q589" s="5"/>
      <c r="R589" s="1"/>
      <c r="S589" s="1"/>
      <c r="T589" s="1"/>
      <c r="U589" s="1"/>
      <c r="V589" s="1"/>
      <c r="W589" s="1"/>
      <c r="X589" s="1"/>
      <c r="Y589" s="1"/>
      <c r="Z589" s="1"/>
      <c r="AA589" s="1"/>
      <c r="AB589" s="1"/>
      <c r="AC589" s="1"/>
      <c r="AD589" s="1"/>
      <c r="AE589" s="1"/>
    </row>
    <row r="590" spans="1:31" x14ac:dyDescent="0.25">
      <c r="A590" s="1"/>
      <c r="B590" s="1"/>
      <c r="C590" s="5"/>
      <c r="D590" s="5"/>
      <c r="E590" s="1"/>
      <c r="F590" s="1"/>
      <c r="G590" s="1"/>
      <c r="H590" s="1"/>
      <c r="I590" s="1"/>
      <c r="J590" s="1"/>
      <c r="K590" s="1"/>
      <c r="L590" s="1"/>
      <c r="M590" s="1"/>
      <c r="N590" s="1"/>
      <c r="O590" s="5"/>
      <c r="P590" s="5"/>
      <c r="Q590" s="5"/>
      <c r="R590" s="1"/>
      <c r="S590" s="1"/>
      <c r="T590" s="1"/>
      <c r="U590" s="1"/>
      <c r="V590" s="1"/>
      <c r="W590" s="1"/>
      <c r="X590" s="1"/>
      <c r="Y590" s="1"/>
      <c r="Z590" s="1"/>
      <c r="AA590" s="1"/>
      <c r="AB590" s="1"/>
      <c r="AC590" s="1"/>
      <c r="AD590" s="1"/>
      <c r="AE590" s="1"/>
    </row>
    <row r="591" spans="1:31" x14ac:dyDescent="0.25">
      <c r="A591" s="1"/>
      <c r="B591" s="1"/>
      <c r="C591" s="5"/>
      <c r="D591" s="5"/>
      <c r="E591" s="1"/>
      <c r="F591" s="1"/>
      <c r="G591" s="1"/>
      <c r="H591" s="1"/>
      <c r="I591" s="1"/>
      <c r="J591" s="1"/>
      <c r="K591" s="1"/>
      <c r="L591" s="1"/>
      <c r="M591" s="1"/>
      <c r="N591" s="1"/>
      <c r="O591" s="5"/>
      <c r="P591" s="5"/>
      <c r="Q591" s="5"/>
      <c r="R591" s="1"/>
      <c r="S591" s="1"/>
      <c r="T591" s="1"/>
      <c r="U591" s="1"/>
      <c r="V591" s="1"/>
      <c r="W591" s="1"/>
      <c r="X591" s="1"/>
      <c r="Y591" s="1"/>
      <c r="Z591" s="1"/>
      <c r="AA591" s="1"/>
      <c r="AB591" s="1"/>
      <c r="AC591" s="1"/>
      <c r="AD591" s="1"/>
      <c r="AE591" s="1"/>
    </row>
    <row r="592" spans="1:31" x14ac:dyDescent="0.25">
      <c r="A592" s="1"/>
      <c r="B592" s="1"/>
      <c r="C592" s="5"/>
      <c r="D592" s="5"/>
      <c r="E592" s="1"/>
      <c r="F592" s="1"/>
      <c r="G592" s="1"/>
      <c r="H592" s="1"/>
      <c r="I592" s="1"/>
      <c r="J592" s="1"/>
      <c r="K592" s="1"/>
      <c r="L592" s="1"/>
      <c r="M592" s="1"/>
      <c r="N592" s="1"/>
      <c r="O592" s="5"/>
      <c r="P592" s="5"/>
      <c r="Q592" s="5"/>
      <c r="R592" s="1"/>
      <c r="S592" s="1"/>
      <c r="T592" s="1"/>
      <c r="U592" s="1"/>
      <c r="V592" s="1"/>
      <c r="W592" s="1"/>
      <c r="X592" s="1"/>
      <c r="Y592" s="1"/>
      <c r="Z592" s="1"/>
      <c r="AA592" s="1"/>
      <c r="AB592" s="1"/>
      <c r="AC592" s="1"/>
      <c r="AD592" s="1"/>
      <c r="AE592" s="1"/>
    </row>
    <row r="593" spans="1:31" x14ac:dyDescent="0.25">
      <c r="A593" s="1"/>
      <c r="B593" s="1"/>
      <c r="C593" s="5"/>
      <c r="D593" s="5"/>
      <c r="E593" s="1"/>
      <c r="F593" s="1"/>
      <c r="G593" s="1"/>
      <c r="H593" s="1"/>
      <c r="I593" s="1"/>
      <c r="J593" s="1"/>
      <c r="K593" s="1"/>
      <c r="L593" s="1"/>
      <c r="M593" s="1"/>
      <c r="N593" s="1"/>
      <c r="O593" s="5"/>
      <c r="P593" s="5"/>
      <c r="Q593" s="5"/>
      <c r="R593" s="1"/>
      <c r="S593" s="1"/>
      <c r="T593" s="1"/>
      <c r="U593" s="1"/>
      <c r="V593" s="1"/>
      <c r="W593" s="1"/>
      <c r="X593" s="1"/>
      <c r="Y593" s="1"/>
      <c r="Z593" s="1"/>
      <c r="AA593" s="1"/>
      <c r="AB593" s="1"/>
      <c r="AC593" s="1"/>
      <c r="AD593" s="1"/>
      <c r="AE593" s="1"/>
    </row>
    <row r="594" spans="1:31" x14ac:dyDescent="0.25">
      <c r="A594" s="1"/>
      <c r="B594" s="1"/>
      <c r="C594" s="5"/>
      <c r="D594" s="5"/>
      <c r="E594" s="1"/>
      <c r="F594" s="1"/>
      <c r="G594" s="1"/>
      <c r="H594" s="1"/>
      <c r="I594" s="1"/>
      <c r="J594" s="1"/>
      <c r="K594" s="1"/>
      <c r="L594" s="1"/>
      <c r="M594" s="1"/>
      <c r="N594" s="1"/>
      <c r="O594" s="5"/>
      <c r="P594" s="5"/>
      <c r="Q594" s="5"/>
      <c r="R594" s="1"/>
      <c r="S594" s="1"/>
      <c r="T594" s="1"/>
      <c r="U594" s="1"/>
      <c r="V594" s="1"/>
      <c r="W594" s="1"/>
      <c r="X594" s="1"/>
      <c r="Y594" s="1"/>
      <c r="Z594" s="1"/>
      <c r="AA594" s="1"/>
      <c r="AB594" s="1"/>
      <c r="AC594" s="1"/>
      <c r="AD594" s="1"/>
      <c r="AE594" s="1"/>
    </row>
    <row r="595" spans="1:31" x14ac:dyDescent="0.25">
      <c r="A595" s="1"/>
      <c r="B595" s="1"/>
      <c r="C595" s="5"/>
      <c r="D595" s="5"/>
      <c r="E595" s="1"/>
      <c r="F595" s="1"/>
      <c r="G595" s="1"/>
      <c r="H595" s="1"/>
      <c r="I595" s="1"/>
      <c r="J595" s="1"/>
      <c r="K595" s="1"/>
      <c r="L595" s="1"/>
      <c r="M595" s="1"/>
      <c r="N595" s="1"/>
      <c r="O595" s="5"/>
      <c r="P595" s="5"/>
      <c r="Q595" s="5"/>
      <c r="R595" s="1"/>
      <c r="S595" s="1"/>
      <c r="T595" s="1"/>
      <c r="U595" s="1"/>
      <c r="V595" s="1"/>
      <c r="W595" s="1"/>
      <c r="X595" s="1"/>
      <c r="Y595" s="1"/>
      <c r="Z595" s="1"/>
      <c r="AA595" s="1"/>
      <c r="AB595" s="1"/>
      <c r="AC595" s="1"/>
      <c r="AD595" s="1"/>
      <c r="AE595" s="1"/>
    </row>
    <row r="596" spans="1:31" x14ac:dyDescent="0.25">
      <c r="A596" s="1"/>
      <c r="B596" s="1"/>
      <c r="C596" s="5"/>
      <c r="D596" s="5"/>
      <c r="E596" s="1"/>
      <c r="F596" s="1"/>
      <c r="G596" s="1"/>
      <c r="H596" s="1"/>
      <c r="I596" s="1"/>
      <c r="J596" s="1"/>
      <c r="K596" s="1"/>
      <c r="L596" s="1"/>
      <c r="M596" s="1"/>
      <c r="N596" s="1"/>
      <c r="O596" s="5"/>
      <c r="P596" s="5"/>
      <c r="Q596" s="5"/>
      <c r="R596" s="1"/>
      <c r="S596" s="1"/>
      <c r="T596" s="1"/>
      <c r="U596" s="1"/>
      <c r="V596" s="1"/>
      <c r="W596" s="1"/>
      <c r="X596" s="1"/>
      <c r="Y596" s="1"/>
      <c r="Z596" s="1"/>
      <c r="AA596" s="1"/>
      <c r="AB596" s="1"/>
      <c r="AC596" s="1"/>
      <c r="AD596" s="1"/>
      <c r="AE596" s="1"/>
    </row>
    <row r="597" spans="1:31" x14ac:dyDescent="0.25">
      <c r="A597" s="1"/>
      <c r="B597" s="1"/>
      <c r="C597" s="5"/>
      <c r="D597" s="5"/>
      <c r="E597" s="1"/>
      <c r="F597" s="1"/>
      <c r="G597" s="1"/>
      <c r="H597" s="1"/>
      <c r="I597" s="1"/>
      <c r="J597" s="1"/>
      <c r="K597" s="1"/>
      <c r="L597" s="1"/>
      <c r="M597" s="1"/>
      <c r="N597" s="1"/>
      <c r="O597" s="5"/>
      <c r="P597" s="5"/>
      <c r="Q597" s="5"/>
      <c r="R597" s="1"/>
      <c r="S597" s="1"/>
      <c r="T597" s="1"/>
      <c r="U597" s="1"/>
      <c r="V597" s="1"/>
      <c r="W597" s="1"/>
      <c r="X597" s="1"/>
      <c r="Y597" s="1"/>
      <c r="Z597" s="1"/>
      <c r="AA597" s="1"/>
      <c r="AB597" s="1"/>
      <c r="AC597" s="1"/>
      <c r="AD597" s="1"/>
      <c r="AE597" s="1"/>
    </row>
    <row r="598" spans="1:31" x14ac:dyDescent="0.25">
      <c r="A598" s="1"/>
      <c r="B598" s="1"/>
      <c r="C598" s="5"/>
      <c r="D598" s="5"/>
      <c r="E598" s="1"/>
      <c r="F598" s="1"/>
      <c r="G598" s="1"/>
      <c r="H598" s="1"/>
      <c r="I598" s="1"/>
      <c r="J598" s="1"/>
      <c r="K598" s="1"/>
      <c r="L598" s="1"/>
      <c r="M598" s="1"/>
      <c r="N598" s="1"/>
      <c r="O598" s="5"/>
      <c r="P598" s="5"/>
      <c r="Q598" s="5"/>
      <c r="R598" s="1"/>
      <c r="S598" s="1"/>
      <c r="T598" s="1"/>
      <c r="U598" s="1"/>
      <c r="V598" s="1"/>
      <c r="W598" s="1"/>
      <c r="X598" s="1"/>
      <c r="Y598" s="1"/>
      <c r="Z598" s="1"/>
      <c r="AA598" s="1"/>
      <c r="AB598" s="1"/>
      <c r="AC598" s="1"/>
      <c r="AD598" s="1"/>
      <c r="AE598" s="1"/>
    </row>
    <row r="599" spans="1:31" x14ac:dyDescent="0.25">
      <c r="A599" s="1"/>
      <c r="B599" s="1"/>
      <c r="C599" s="5"/>
      <c r="D599" s="5"/>
      <c r="E599" s="1"/>
      <c r="F599" s="1"/>
      <c r="G599" s="1"/>
      <c r="H599" s="1"/>
      <c r="I599" s="1"/>
      <c r="J599" s="1"/>
      <c r="K599" s="1"/>
      <c r="L599" s="1"/>
      <c r="M599" s="1"/>
      <c r="N599" s="1"/>
      <c r="O599" s="5"/>
      <c r="P599" s="5"/>
      <c r="Q599" s="5"/>
      <c r="R599" s="1"/>
      <c r="S599" s="1"/>
      <c r="T599" s="1"/>
      <c r="U599" s="1"/>
      <c r="V599" s="1"/>
      <c r="W599" s="1"/>
      <c r="X599" s="1"/>
      <c r="Y599" s="1"/>
      <c r="Z599" s="1"/>
      <c r="AA599" s="1"/>
      <c r="AB599" s="1"/>
      <c r="AC599" s="1"/>
      <c r="AD599" s="1"/>
      <c r="AE599" s="1"/>
    </row>
    <row r="600" spans="1:31" x14ac:dyDescent="0.25">
      <c r="A600" s="1"/>
      <c r="B600" s="1"/>
      <c r="C600" s="5"/>
      <c r="D600" s="5"/>
      <c r="E600" s="1"/>
      <c r="F600" s="1"/>
      <c r="G600" s="1"/>
      <c r="H600" s="1"/>
      <c r="I600" s="1"/>
      <c r="J600" s="1"/>
      <c r="K600" s="1"/>
      <c r="L600" s="1"/>
      <c r="M600" s="1"/>
      <c r="N600" s="1"/>
      <c r="O600" s="5"/>
      <c r="P600" s="5"/>
      <c r="Q600" s="5"/>
      <c r="R600" s="1"/>
      <c r="S600" s="1"/>
      <c r="T600" s="1"/>
      <c r="U600" s="1"/>
      <c r="V600" s="1"/>
      <c r="W600" s="1"/>
      <c r="X600" s="1"/>
      <c r="Y600" s="1"/>
      <c r="Z600" s="1"/>
      <c r="AA600" s="1"/>
      <c r="AB600" s="1"/>
      <c r="AC600" s="1"/>
      <c r="AD600" s="1"/>
      <c r="AE600" s="1"/>
    </row>
    <row r="601" spans="1:31" x14ac:dyDescent="0.25">
      <c r="A601" s="1"/>
      <c r="B601" s="1"/>
      <c r="C601" s="5"/>
      <c r="D601" s="5"/>
      <c r="E601" s="1"/>
      <c r="F601" s="1"/>
      <c r="G601" s="1"/>
      <c r="H601" s="1"/>
      <c r="I601" s="1"/>
      <c r="J601" s="1"/>
      <c r="K601" s="1"/>
      <c r="L601" s="1"/>
      <c r="M601" s="1"/>
      <c r="N601" s="1"/>
      <c r="O601" s="5"/>
      <c r="P601" s="5"/>
      <c r="Q601" s="5"/>
      <c r="R601" s="1"/>
      <c r="S601" s="1"/>
      <c r="T601" s="1"/>
      <c r="U601" s="1"/>
      <c r="V601" s="1"/>
      <c r="W601" s="1"/>
      <c r="X601" s="1"/>
      <c r="Y601" s="1"/>
      <c r="Z601" s="1"/>
      <c r="AA601" s="1"/>
      <c r="AB601" s="1"/>
      <c r="AC601" s="1"/>
      <c r="AD601" s="1"/>
      <c r="AE601" s="1"/>
    </row>
    <row r="602" spans="1:31" x14ac:dyDescent="0.25">
      <c r="A602" s="1"/>
      <c r="B602" s="1"/>
      <c r="C602" s="5"/>
      <c r="D602" s="5"/>
      <c r="E602" s="1"/>
      <c r="F602" s="1"/>
      <c r="G602" s="1"/>
      <c r="H602" s="1"/>
      <c r="I602" s="1"/>
      <c r="J602" s="1"/>
      <c r="K602" s="1"/>
      <c r="L602" s="1"/>
      <c r="M602" s="1"/>
      <c r="N602" s="1"/>
      <c r="O602" s="5"/>
      <c r="P602" s="5"/>
      <c r="Q602" s="5"/>
      <c r="R602" s="1"/>
      <c r="S602" s="1"/>
      <c r="T602" s="1"/>
      <c r="U602" s="1"/>
      <c r="V602" s="1"/>
      <c r="W602" s="1"/>
      <c r="X602" s="1"/>
      <c r="Y602" s="1"/>
      <c r="Z602" s="1"/>
      <c r="AA602" s="1"/>
      <c r="AB602" s="1"/>
      <c r="AC602" s="1"/>
      <c r="AD602" s="1"/>
      <c r="AE602" s="1"/>
    </row>
    <row r="603" spans="1:31" x14ac:dyDescent="0.25">
      <c r="A603" s="1"/>
      <c r="B603" s="1"/>
      <c r="C603" s="5"/>
      <c r="D603" s="5"/>
      <c r="E603" s="1"/>
      <c r="F603" s="1"/>
      <c r="G603" s="1"/>
      <c r="H603" s="1"/>
      <c r="I603" s="1"/>
      <c r="J603" s="1"/>
      <c r="K603" s="1"/>
      <c r="L603" s="1"/>
      <c r="M603" s="1"/>
      <c r="N603" s="1"/>
      <c r="O603" s="5"/>
      <c r="P603" s="5"/>
      <c r="Q603" s="5"/>
      <c r="R603" s="1"/>
      <c r="S603" s="1"/>
      <c r="T603" s="1"/>
      <c r="U603" s="1"/>
      <c r="V603" s="1"/>
      <c r="W603" s="1"/>
      <c r="X603" s="1"/>
      <c r="Y603" s="1"/>
      <c r="Z603" s="1"/>
      <c r="AA603" s="1"/>
      <c r="AB603" s="1"/>
      <c r="AC603" s="1"/>
      <c r="AD603" s="1"/>
      <c r="AE603" s="1"/>
    </row>
    <row r="604" spans="1:31" x14ac:dyDescent="0.25">
      <c r="A604" s="1"/>
      <c r="B604" s="1"/>
      <c r="C604" s="5"/>
      <c r="D604" s="5"/>
      <c r="E604" s="1"/>
      <c r="F604" s="1"/>
      <c r="G604" s="1"/>
      <c r="H604" s="1"/>
      <c r="I604" s="1"/>
      <c r="J604" s="1"/>
      <c r="K604" s="1"/>
      <c r="L604" s="1"/>
      <c r="M604" s="1"/>
      <c r="N604" s="1"/>
      <c r="O604" s="5"/>
      <c r="P604" s="5"/>
      <c r="Q604" s="5"/>
      <c r="R604" s="1"/>
      <c r="S604" s="1"/>
      <c r="T604" s="1"/>
      <c r="U604" s="1"/>
      <c r="V604" s="1"/>
      <c r="W604" s="1"/>
      <c r="X604" s="1"/>
      <c r="Y604" s="1"/>
      <c r="Z604" s="1"/>
      <c r="AA604" s="1"/>
      <c r="AB604" s="1"/>
      <c r="AC604" s="1"/>
      <c r="AD604" s="1"/>
      <c r="AE604" s="1"/>
    </row>
    <row r="605" spans="1:31" x14ac:dyDescent="0.25">
      <c r="A605" s="1"/>
      <c r="B605" s="1"/>
      <c r="C605" s="5"/>
      <c r="D605" s="5"/>
      <c r="E605" s="1"/>
      <c r="F605" s="1"/>
      <c r="G605" s="1"/>
      <c r="H605" s="1"/>
      <c r="I605" s="1"/>
      <c r="J605" s="1"/>
      <c r="K605" s="1"/>
      <c r="L605" s="1"/>
      <c r="M605" s="1"/>
      <c r="N605" s="1"/>
      <c r="O605" s="5"/>
      <c r="P605" s="5"/>
      <c r="Q605" s="5"/>
      <c r="R605" s="1"/>
      <c r="S605" s="1"/>
      <c r="T605" s="1"/>
      <c r="U605" s="1"/>
      <c r="V605" s="1"/>
      <c r="W605" s="1"/>
      <c r="X605" s="1"/>
      <c r="Y605" s="1"/>
      <c r="Z605" s="1"/>
      <c r="AA605" s="1"/>
      <c r="AB605" s="1"/>
      <c r="AC605" s="1"/>
      <c r="AD605" s="1"/>
      <c r="AE605" s="1"/>
    </row>
    <row r="606" spans="1:31" x14ac:dyDescent="0.25">
      <c r="A606" s="1"/>
      <c r="B606" s="1"/>
      <c r="C606" s="5"/>
      <c r="D606" s="5"/>
      <c r="E606" s="1"/>
      <c r="F606" s="1"/>
      <c r="G606" s="1"/>
      <c r="H606" s="1"/>
      <c r="I606" s="1"/>
      <c r="J606" s="1"/>
      <c r="K606" s="1"/>
      <c r="L606" s="1"/>
      <c r="M606" s="1"/>
      <c r="N606" s="1"/>
      <c r="O606" s="5"/>
      <c r="P606" s="5"/>
      <c r="Q606" s="5"/>
      <c r="R606" s="1"/>
      <c r="S606" s="1"/>
      <c r="T606" s="1"/>
      <c r="U606" s="1"/>
      <c r="V606" s="1"/>
      <c r="W606" s="1"/>
      <c r="X606" s="1"/>
      <c r="Y606" s="1"/>
      <c r="Z606" s="1"/>
      <c r="AA606" s="1"/>
      <c r="AB606" s="1"/>
      <c r="AC606" s="1"/>
      <c r="AD606" s="1"/>
      <c r="AE606" s="1"/>
    </row>
    <row r="607" spans="1:31" x14ac:dyDescent="0.25">
      <c r="A607" s="1"/>
      <c r="B607" s="1"/>
      <c r="C607" s="5"/>
      <c r="D607" s="5"/>
      <c r="E607" s="1"/>
      <c r="F607" s="1"/>
      <c r="G607" s="1"/>
      <c r="H607" s="1"/>
      <c r="I607" s="1"/>
      <c r="J607" s="1"/>
      <c r="K607" s="1"/>
      <c r="L607" s="1"/>
      <c r="M607" s="1"/>
      <c r="N607" s="1"/>
      <c r="O607" s="5"/>
      <c r="P607" s="5"/>
      <c r="Q607" s="5"/>
      <c r="R607" s="1"/>
      <c r="S607" s="1"/>
      <c r="T607" s="1"/>
      <c r="U607" s="1"/>
      <c r="V607" s="1"/>
      <c r="W607" s="1"/>
      <c r="X607" s="1"/>
      <c r="Y607" s="1"/>
      <c r="Z607" s="1"/>
      <c r="AA607" s="1"/>
      <c r="AB607" s="1"/>
      <c r="AC607" s="1"/>
      <c r="AD607" s="1"/>
      <c r="AE607" s="1"/>
    </row>
    <row r="608" spans="1:31" x14ac:dyDescent="0.25">
      <c r="A608" s="1"/>
      <c r="B608" s="1"/>
      <c r="C608" s="5"/>
      <c r="D608" s="5"/>
      <c r="E608" s="1"/>
      <c r="F608" s="1"/>
      <c r="G608" s="1"/>
      <c r="H608" s="1"/>
      <c r="I608" s="1"/>
      <c r="J608" s="1"/>
      <c r="K608" s="1"/>
      <c r="L608" s="1"/>
      <c r="M608" s="1"/>
      <c r="N608" s="1"/>
      <c r="O608" s="5"/>
      <c r="P608" s="5"/>
      <c r="Q608" s="5"/>
      <c r="R608" s="1"/>
      <c r="S608" s="1"/>
      <c r="T608" s="1"/>
      <c r="U608" s="1"/>
      <c r="V608" s="1"/>
      <c r="W608" s="1"/>
      <c r="X608" s="1"/>
      <c r="Y608" s="1"/>
      <c r="Z608" s="1"/>
      <c r="AA608" s="1"/>
      <c r="AB608" s="1"/>
      <c r="AC608" s="1"/>
      <c r="AD608" s="1"/>
      <c r="AE608" s="1"/>
    </row>
    <row r="609" spans="1:31" x14ac:dyDescent="0.25">
      <c r="A609" s="1"/>
      <c r="B609" s="1"/>
      <c r="C609" s="5"/>
      <c r="D609" s="5"/>
      <c r="E609" s="1"/>
      <c r="F609" s="1"/>
      <c r="G609" s="1"/>
      <c r="H609" s="1"/>
      <c r="I609" s="1"/>
      <c r="J609" s="1"/>
      <c r="K609" s="1"/>
      <c r="L609" s="1"/>
      <c r="M609" s="1"/>
      <c r="N609" s="1"/>
      <c r="O609" s="5"/>
      <c r="P609" s="5"/>
      <c r="Q609" s="5"/>
      <c r="R609" s="1"/>
      <c r="S609" s="1"/>
      <c r="T609" s="1"/>
      <c r="U609" s="1"/>
      <c r="V609" s="1"/>
      <c r="W609" s="1"/>
      <c r="X609" s="1"/>
      <c r="Y609" s="1"/>
      <c r="Z609" s="1"/>
      <c r="AA609" s="1"/>
      <c r="AB609" s="1"/>
      <c r="AC609" s="1"/>
      <c r="AD609" s="1"/>
      <c r="AE609" s="1"/>
    </row>
    <row r="610" spans="1:31" x14ac:dyDescent="0.25">
      <c r="A610" s="1"/>
      <c r="B610" s="1"/>
      <c r="C610" s="5"/>
      <c r="D610" s="5"/>
      <c r="E610" s="1"/>
      <c r="F610" s="1"/>
      <c r="G610" s="1"/>
      <c r="H610" s="1"/>
      <c r="I610" s="1"/>
      <c r="J610" s="1"/>
      <c r="K610" s="1"/>
      <c r="L610" s="1"/>
      <c r="M610" s="1"/>
      <c r="N610" s="1"/>
      <c r="O610" s="5"/>
      <c r="P610" s="5"/>
      <c r="Q610" s="5"/>
      <c r="R610" s="1"/>
      <c r="S610" s="1"/>
      <c r="T610" s="1"/>
      <c r="U610" s="1"/>
      <c r="V610" s="1"/>
      <c r="W610" s="1"/>
      <c r="X610" s="1"/>
      <c r="Y610" s="1"/>
      <c r="Z610" s="1"/>
      <c r="AA610" s="1"/>
      <c r="AB610" s="1"/>
      <c r="AC610" s="1"/>
      <c r="AD610" s="1"/>
      <c r="AE610" s="1"/>
    </row>
    <row r="611" spans="1:31" x14ac:dyDescent="0.25">
      <c r="A611" s="1"/>
      <c r="B611" s="1"/>
      <c r="C611" s="5"/>
      <c r="D611" s="5"/>
      <c r="E611" s="1"/>
      <c r="F611" s="1"/>
      <c r="G611" s="1"/>
      <c r="H611" s="1"/>
      <c r="I611" s="1"/>
      <c r="J611" s="1"/>
      <c r="K611" s="1"/>
      <c r="L611" s="1"/>
      <c r="M611" s="1"/>
      <c r="N611" s="1"/>
      <c r="O611" s="5"/>
      <c r="P611" s="5"/>
      <c r="Q611" s="5"/>
      <c r="R611" s="1"/>
      <c r="S611" s="1"/>
      <c r="T611" s="1"/>
      <c r="U611" s="1"/>
      <c r="V611" s="1"/>
      <c r="W611" s="1"/>
      <c r="X611" s="1"/>
      <c r="Y611" s="1"/>
      <c r="Z611" s="1"/>
      <c r="AA611" s="1"/>
      <c r="AB611" s="1"/>
      <c r="AC611" s="1"/>
      <c r="AD611" s="1"/>
      <c r="AE611" s="1"/>
    </row>
    <row r="612" spans="1:31" x14ac:dyDescent="0.25">
      <c r="A612" s="1"/>
      <c r="B612" s="1"/>
      <c r="C612" s="5"/>
      <c r="D612" s="5"/>
      <c r="E612" s="1"/>
      <c r="F612" s="1"/>
      <c r="G612" s="1"/>
      <c r="H612" s="1"/>
      <c r="I612" s="1"/>
      <c r="J612" s="1"/>
      <c r="K612" s="1"/>
      <c r="L612" s="1"/>
      <c r="M612" s="1"/>
      <c r="N612" s="1"/>
      <c r="O612" s="5"/>
      <c r="P612" s="5"/>
      <c r="Q612" s="5"/>
      <c r="R612" s="1"/>
      <c r="S612" s="1"/>
      <c r="T612" s="1"/>
      <c r="U612" s="1"/>
      <c r="V612" s="1"/>
      <c r="W612" s="1"/>
      <c r="X612" s="1"/>
      <c r="Y612" s="1"/>
      <c r="Z612" s="1"/>
      <c r="AA612" s="1"/>
      <c r="AB612" s="1"/>
      <c r="AC612" s="1"/>
      <c r="AD612" s="1"/>
      <c r="AE612" s="1"/>
    </row>
    <row r="613" spans="1:31" x14ac:dyDescent="0.25">
      <c r="A613" s="1"/>
      <c r="B613" s="1"/>
      <c r="C613" s="5"/>
      <c r="D613" s="5"/>
      <c r="E613" s="1"/>
      <c r="F613" s="1"/>
      <c r="G613" s="1"/>
      <c r="H613" s="1"/>
      <c r="I613" s="1"/>
      <c r="J613" s="1"/>
      <c r="K613" s="1"/>
      <c r="L613" s="1"/>
      <c r="M613" s="1"/>
      <c r="N613" s="1"/>
      <c r="O613" s="5"/>
      <c r="P613" s="5"/>
      <c r="Q613" s="5"/>
      <c r="R613" s="1"/>
      <c r="S613" s="1"/>
      <c r="T613" s="1"/>
      <c r="U613" s="1"/>
      <c r="V613" s="1"/>
      <c r="W613" s="1"/>
      <c r="X613" s="1"/>
      <c r="Y613" s="1"/>
      <c r="Z613" s="1"/>
      <c r="AA613" s="1"/>
      <c r="AB613" s="1"/>
      <c r="AC613" s="1"/>
      <c r="AD613" s="1"/>
      <c r="AE613" s="1"/>
    </row>
    <row r="614" spans="1:31" x14ac:dyDescent="0.25">
      <c r="A614" s="1"/>
      <c r="B614" s="1"/>
      <c r="C614" s="5"/>
      <c r="D614" s="5"/>
      <c r="E614" s="1"/>
      <c r="F614" s="1"/>
      <c r="G614" s="1"/>
      <c r="H614" s="1"/>
      <c r="I614" s="1"/>
      <c r="J614" s="1"/>
      <c r="K614" s="1"/>
      <c r="L614" s="1"/>
      <c r="M614" s="1"/>
      <c r="N614" s="1"/>
      <c r="O614" s="5"/>
      <c r="P614" s="5"/>
      <c r="Q614" s="5"/>
      <c r="R614" s="1"/>
      <c r="S614" s="1"/>
      <c r="T614" s="1"/>
      <c r="U614" s="1"/>
      <c r="V614" s="1"/>
      <c r="W614" s="1"/>
      <c r="X614" s="1"/>
      <c r="Y614" s="1"/>
      <c r="Z614" s="1"/>
      <c r="AA614" s="1"/>
      <c r="AB614" s="1"/>
      <c r="AC614" s="1"/>
      <c r="AD614" s="1"/>
      <c r="AE614" s="1"/>
    </row>
    <row r="615" spans="1:31" x14ac:dyDescent="0.25">
      <c r="A615" s="1"/>
      <c r="B615" s="1"/>
      <c r="C615" s="5"/>
      <c r="D615" s="5"/>
      <c r="E615" s="1"/>
      <c r="F615" s="1"/>
      <c r="G615" s="1"/>
      <c r="H615" s="1"/>
      <c r="I615" s="1"/>
      <c r="J615" s="1"/>
      <c r="K615" s="1"/>
      <c r="L615" s="1"/>
      <c r="M615" s="1"/>
      <c r="N615" s="1"/>
      <c r="O615" s="5"/>
      <c r="P615" s="5"/>
      <c r="Q615" s="5"/>
      <c r="R615" s="1"/>
      <c r="S615" s="1"/>
      <c r="T615" s="1"/>
      <c r="U615" s="1"/>
      <c r="V615" s="1"/>
      <c r="W615" s="1"/>
      <c r="X615" s="1"/>
      <c r="Y615" s="1"/>
      <c r="Z615" s="1"/>
      <c r="AA615" s="1"/>
      <c r="AB615" s="1"/>
      <c r="AC615" s="1"/>
      <c r="AD615" s="1"/>
      <c r="AE615" s="1"/>
    </row>
    <row r="616" spans="1:31" x14ac:dyDescent="0.25">
      <c r="A616" s="1"/>
      <c r="B616" s="1"/>
      <c r="C616" s="5"/>
      <c r="D616" s="5"/>
      <c r="E616" s="1"/>
      <c r="F616" s="1"/>
      <c r="G616" s="1"/>
      <c r="H616" s="1"/>
      <c r="I616" s="1"/>
      <c r="J616" s="1"/>
      <c r="K616" s="1"/>
      <c r="L616" s="1"/>
      <c r="M616" s="1"/>
      <c r="N616" s="1"/>
      <c r="O616" s="5"/>
      <c r="P616" s="5"/>
      <c r="Q616" s="5"/>
      <c r="R616" s="1"/>
      <c r="S616" s="1"/>
      <c r="T616" s="1"/>
      <c r="U616" s="1"/>
      <c r="V616" s="1"/>
      <c r="W616" s="1"/>
      <c r="X616" s="1"/>
      <c r="Y616" s="1"/>
      <c r="Z616" s="1"/>
      <c r="AA616" s="1"/>
      <c r="AB616" s="1"/>
      <c r="AC616" s="1"/>
      <c r="AD616" s="1"/>
      <c r="AE616" s="1"/>
    </row>
    <row r="617" spans="1:31" x14ac:dyDescent="0.25">
      <c r="A617" s="1"/>
      <c r="B617" s="1"/>
      <c r="C617" s="5"/>
      <c r="D617" s="5"/>
      <c r="E617" s="1"/>
      <c r="F617" s="1"/>
      <c r="G617" s="1"/>
      <c r="H617" s="1"/>
      <c r="I617" s="1"/>
      <c r="J617" s="1"/>
      <c r="K617" s="1"/>
      <c r="L617" s="1"/>
      <c r="M617" s="1"/>
      <c r="N617" s="1"/>
      <c r="O617" s="5"/>
      <c r="P617" s="5"/>
      <c r="Q617" s="5"/>
      <c r="R617" s="1"/>
      <c r="S617" s="1"/>
      <c r="T617" s="1"/>
      <c r="U617" s="1"/>
      <c r="V617" s="1"/>
      <c r="W617" s="1"/>
      <c r="X617" s="1"/>
      <c r="Y617" s="1"/>
      <c r="Z617" s="1"/>
      <c r="AA617" s="1"/>
      <c r="AB617" s="1"/>
      <c r="AC617" s="1"/>
      <c r="AD617" s="1"/>
      <c r="AE617" s="1"/>
    </row>
    <row r="618" spans="1:31" x14ac:dyDescent="0.25">
      <c r="A618" s="1"/>
      <c r="B618" s="1"/>
      <c r="C618" s="5"/>
      <c r="D618" s="5"/>
      <c r="E618" s="1"/>
      <c r="F618" s="1"/>
      <c r="G618" s="1"/>
      <c r="H618" s="1"/>
      <c r="I618" s="1"/>
      <c r="J618" s="1"/>
      <c r="K618" s="1"/>
      <c r="L618" s="1"/>
      <c r="M618" s="1"/>
      <c r="N618" s="1"/>
      <c r="O618" s="5"/>
      <c r="P618" s="5"/>
      <c r="Q618" s="5"/>
      <c r="R618" s="1"/>
      <c r="S618" s="1"/>
      <c r="T618" s="1"/>
      <c r="U618" s="1"/>
      <c r="V618" s="1"/>
      <c r="W618" s="1"/>
      <c r="X618" s="1"/>
      <c r="Y618" s="1"/>
      <c r="Z618" s="1"/>
      <c r="AA618" s="1"/>
      <c r="AB618" s="1"/>
      <c r="AC618" s="1"/>
      <c r="AD618" s="1"/>
      <c r="AE618" s="1"/>
    </row>
    <row r="619" spans="1:31" x14ac:dyDescent="0.25">
      <c r="A619" s="1"/>
      <c r="B619" s="1"/>
      <c r="C619" s="5"/>
      <c r="D619" s="5"/>
      <c r="E619" s="1"/>
      <c r="F619" s="1"/>
      <c r="G619" s="1"/>
      <c r="H619" s="1"/>
      <c r="I619" s="1"/>
      <c r="J619" s="1"/>
      <c r="K619" s="1"/>
      <c r="L619" s="1"/>
      <c r="M619" s="1"/>
      <c r="N619" s="1"/>
      <c r="O619" s="5"/>
      <c r="P619" s="5"/>
      <c r="Q619" s="5"/>
      <c r="R619" s="1"/>
      <c r="S619" s="1"/>
      <c r="T619" s="1"/>
      <c r="U619" s="1"/>
      <c r="V619" s="1"/>
      <c r="W619" s="1"/>
      <c r="X619" s="1"/>
      <c r="Y619" s="1"/>
      <c r="Z619" s="1"/>
      <c r="AA619" s="1"/>
      <c r="AB619" s="1"/>
      <c r="AC619" s="1"/>
      <c r="AD619" s="1"/>
      <c r="AE619" s="1"/>
    </row>
    <row r="620" spans="1:31" x14ac:dyDescent="0.25">
      <c r="A620" s="1"/>
      <c r="B620" s="1"/>
      <c r="C620" s="5"/>
      <c r="D620" s="5"/>
      <c r="E620" s="1"/>
      <c r="F620" s="1"/>
      <c r="G620" s="1"/>
      <c r="H620" s="1"/>
      <c r="I620" s="1"/>
      <c r="J620" s="1"/>
      <c r="K620" s="1"/>
      <c r="L620" s="1"/>
      <c r="M620" s="1"/>
      <c r="N620" s="1"/>
      <c r="O620" s="5"/>
      <c r="P620" s="5"/>
      <c r="Q620" s="5"/>
      <c r="R620" s="1"/>
      <c r="S620" s="1"/>
      <c r="T620" s="1"/>
      <c r="U620" s="1"/>
      <c r="V620" s="1"/>
      <c r="W620" s="1"/>
      <c r="X620" s="1"/>
      <c r="Y620" s="1"/>
      <c r="Z620" s="1"/>
      <c r="AA620" s="1"/>
      <c r="AB620" s="1"/>
      <c r="AC620" s="1"/>
      <c r="AD620" s="1"/>
      <c r="AE620" s="1"/>
    </row>
    <row r="621" spans="1:31" x14ac:dyDescent="0.25">
      <c r="A621" s="1"/>
      <c r="B621" s="1"/>
      <c r="C621" s="5"/>
      <c r="D621" s="5"/>
      <c r="E621" s="1"/>
      <c r="F621" s="1"/>
      <c r="G621" s="1"/>
      <c r="H621" s="1"/>
      <c r="I621" s="1"/>
      <c r="J621" s="1"/>
      <c r="K621" s="1"/>
      <c r="L621" s="1"/>
      <c r="M621" s="1"/>
      <c r="N621" s="1"/>
      <c r="O621" s="5"/>
      <c r="P621" s="5"/>
      <c r="Q621" s="5"/>
      <c r="R621" s="1"/>
      <c r="S621" s="1"/>
      <c r="T621" s="1"/>
      <c r="U621" s="1"/>
      <c r="V621" s="1"/>
      <c r="W621" s="1"/>
      <c r="X621" s="1"/>
      <c r="Y621" s="1"/>
      <c r="Z621" s="1"/>
      <c r="AA621" s="1"/>
      <c r="AB621" s="1"/>
      <c r="AC621" s="1"/>
      <c r="AD621" s="1"/>
      <c r="AE621" s="1"/>
    </row>
    <row r="622" spans="1:31" x14ac:dyDescent="0.25">
      <c r="A622" s="1"/>
      <c r="B622" s="1"/>
      <c r="C622" s="5"/>
      <c r="D622" s="5"/>
      <c r="E622" s="1"/>
      <c r="F622" s="1"/>
      <c r="G622" s="1"/>
      <c r="H622" s="1"/>
      <c r="I622" s="1"/>
      <c r="J622" s="1"/>
      <c r="K622" s="1"/>
      <c r="L622" s="1"/>
      <c r="M622" s="1"/>
      <c r="N622" s="1"/>
      <c r="O622" s="5"/>
      <c r="P622" s="5"/>
      <c r="Q622" s="5"/>
      <c r="R622" s="1"/>
      <c r="S622" s="1"/>
      <c r="T622" s="1"/>
      <c r="U622" s="1"/>
      <c r="V622" s="1"/>
      <c r="W622" s="1"/>
      <c r="X622" s="1"/>
      <c r="Y622" s="1"/>
      <c r="Z622" s="1"/>
      <c r="AA622" s="1"/>
      <c r="AB622" s="1"/>
      <c r="AC622" s="1"/>
      <c r="AD622" s="1"/>
      <c r="AE622" s="1"/>
    </row>
    <row r="623" spans="1:31" x14ac:dyDescent="0.25">
      <c r="A623" s="1"/>
      <c r="B623" s="1"/>
      <c r="C623" s="5"/>
      <c r="D623" s="5"/>
      <c r="E623" s="1"/>
      <c r="F623" s="1"/>
      <c r="G623" s="1"/>
      <c r="H623" s="1"/>
      <c r="I623" s="1"/>
      <c r="J623" s="1"/>
      <c r="K623" s="1"/>
      <c r="L623" s="1"/>
      <c r="M623" s="1"/>
      <c r="N623" s="1"/>
      <c r="O623" s="5"/>
      <c r="P623" s="5"/>
      <c r="Q623" s="5"/>
      <c r="R623" s="1"/>
      <c r="S623" s="1"/>
      <c r="T623" s="1"/>
      <c r="U623" s="1"/>
      <c r="V623" s="1"/>
      <c r="W623" s="1"/>
      <c r="X623" s="1"/>
      <c r="Y623" s="1"/>
      <c r="Z623" s="1"/>
      <c r="AA623" s="1"/>
      <c r="AB623" s="1"/>
      <c r="AC623" s="1"/>
      <c r="AD623" s="1"/>
      <c r="AE623" s="1"/>
    </row>
    <row r="624" spans="1:31" x14ac:dyDescent="0.25">
      <c r="A624" s="1"/>
      <c r="B624" s="1"/>
      <c r="C624" s="5"/>
      <c r="D624" s="5"/>
      <c r="E624" s="1"/>
      <c r="F624" s="1"/>
      <c r="G624" s="1"/>
      <c r="H624" s="1"/>
      <c r="I624" s="1"/>
      <c r="J624" s="1"/>
      <c r="K624" s="1"/>
      <c r="L624" s="1"/>
      <c r="M624" s="1"/>
      <c r="N624" s="1"/>
      <c r="O624" s="5"/>
      <c r="P624" s="5"/>
      <c r="Q624" s="5"/>
      <c r="R624" s="1"/>
      <c r="S624" s="1"/>
      <c r="T624" s="1"/>
      <c r="U624" s="1"/>
      <c r="V624" s="1"/>
      <c r="W624" s="1"/>
      <c r="X624" s="1"/>
      <c r="Y624" s="1"/>
      <c r="Z624" s="1"/>
      <c r="AA624" s="1"/>
      <c r="AB624" s="1"/>
      <c r="AC624" s="1"/>
      <c r="AD624" s="1"/>
      <c r="AE624" s="1"/>
    </row>
    <row r="625" spans="1:31" x14ac:dyDescent="0.25">
      <c r="A625" s="1"/>
      <c r="B625" s="1"/>
      <c r="C625" s="5"/>
      <c r="D625" s="5"/>
      <c r="E625" s="1"/>
      <c r="F625" s="1"/>
      <c r="G625" s="1"/>
      <c r="H625" s="1"/>
      <c r="I625" s="1"/>
      <c r="J625" s="1"/>
      <c r="K625" s="1"/>
      <c r="L625" s="1"/>
      <c r="M625" s="1"/>
      <c r="N625" s="1"/>
      <c r="O625" s="5"/>
      <c r="P625" s="5"/>
      <c r="Q625" s="5"/>
      <c r="R625" s="1"/>
      <c r="S625" s="1"/>
      <c r="T625" s="1"/>
      <c r="U625" s="1"/>
      <c r="V625" s="1"/>
      <c r="W625" s="1"/>
      <c r="X625" s="1"/>
      <c r="Y625" s="1"/>
      <c r="Z625" s="1"/>
      <c r="AA625" s="1"/>
      <c r="AB625" s="1"/>
      <c r="AC625" s="1"/>
      <c r="AD625" s="1"/>
      <c r="AE625" s="1"/>
    </row>
    <row r="626" spans="1:31" x14ac:dyDescent="0.25">
      <c r="A626" s="1"/>
      <c r="B626" s="1"/>
      <c r="C626" s="5"/>
      <c r="D626" s="5"/>
      <c r="E626" s="1"/>
      <c r="F626" s="1"/>
      <c r="G626" s="1"/>
      <c r="H626" s="1"/>
      <c r="I626" s="1"/>
      <c r="J626" s="1"/>
      <c r="K626" s="1"/>
      <c r="L626" s="1"/>
      <c r="M626" s="1"/>
      <c r="N626" s="1"/>
      <c r="O626" s="5"/>
      <c r="P626" s="5"/>
      <c r="Q626" s="5"/>
      <c r="R626" s="1"/>
      <c r="S626" s="1"/>
      <c r="T626" s="1"/>
      <c r="U626" s="1"/>
      <c r="V626" s="1"/>
      <c r="W626" s="1"/>
      <c r="X626" s="1"/>
      <c r="Y626" s="1"/>
      <c r="Z626" s="1"/>
      <c r="AA626" s="1"/>
      <c r="AB626" s="1"/>
      <c r="AC626" s="1"/>
      <c r="AD626" s="1"/>
      <c r="AE626" s="1"/>
    </row>
    <row r="627" spans="1:31" x14ac:dyDescent="0.25">
      <c r="A627" s="1"/>
      <c r="B627" s="1"/>
      <c r="C627" s="5"/>
      <c r="D627" s="5"/>
      <c r="E627" s="1"/>
      <c r="F627" s="1"/>
      <c r="G627" s="1"/>
      <c r="H627" s="1"/>
      <c r="I627" s="1"/>
      <c r="J627" s="1"/>
      <c r="K627" s="1"/>
      <c r="L627" s="1"/>
      <c r="M627" s="1"/>
      <c r="N627" s="1"/>
      <c r="O627" s="5"/>
      <c r="P627" s="5"/>
      <c r="Q627" s="5"/>
      <c r="R627" s="1"/>
      <c r="S627" s="1"/>
      <c r="T627" s="1"/>
      <c r="U627" s="1"/>
      <c r="V627" s="1"/>
      <c r="W627" s="1"/>
      <c r="X627" s="1"/>
      <c r="Y627" s="1"/>
      <c r="Z627" s="1"/>
      <c r="AA627" s="1"/>
      <c r="AB627" s="1"/>
      <c r="AC627" s="1"/>
      <c r="AD627" s="1"/>
      <c r="AE627" s="1"/>
    </row>
    <row r="628" spans="1:31" x14ac:dyDescent="0.25">
      <c r="A628" s="1"/>
      <c r="B628" s="1"/>
      <c r="C628" s="5"/>
      <c r="D628" s="5"/>
      <c r="E628" s="1"/>
      <c r="F628" s="1"/>
      <c r="G628" s="1"/>
      <c r="H628" s="1"/>
      <c r="I628" s="1"/>
      <c r="J628" s="1"/>
      <c r="K628" s="1"/>
      <c r="L628" s="1"/>
      <c r="M628" s="1"/>
      <c r="N628" s="1"/>
      <c r="O628" s="5"/>
      <c r="P628" s="5"/>
      <c r="Q628" s="5"/>
      <c r="R628" s="1"/>
      <c r="S628" s="1"/>
      <c r="T628" s="1"/>
      <c r="U628" s="1"/>
      <c r="V628" s="1"/>
      <c r="W628" s="1"/>
      <c r="X628" s="1"/>
      <c r="Y628" s="1"/>
      <c r="Z628" s="1"/>
      <c r="AA628" s="1"/>
      <c r="AB628" s="1"/>
      <c r="AC628" s="1"/>
      <c r="AD628" s="1"/>
      <c r="AE628" s="1"/>
    </row>
    <row r="629" spans="1:31" x14ac:dyDescent="0.25">
      <c r="A629" s="1"/>
      <c r="B629" s="1"/>
      <c r="C629" s="5"/>
      <c r="D629" s="5"/>
      <c r="E629" s="1"/>
      <c r="F629" s="1"/>
      <c r="G629" s="1"/>
      <c r="H629" s="1"/>
      <c r="I629" s="1"/>
      <c r="J629" s="1"/>
      <c r="K629" s="1"/>
      <c r="L629" s="1"/>
      <c r="M629" s="1"/>
      <c r="N629" s="1"/>
      <c r="O629" s="5"/>
      <c r="P629" s="5"/>
      <c r="Q629" s="5"/>
      <c r="R629" s="1"/>
      <c r="S629" s="1"/>
      <c r="T629" s="1"/>
      <c r="U629" s="1"/>
      <c r="V629" s="1"/>
      <c r="W629" s="1"/>
      <c r="X629" s="1"/>
      <c r="Y629" s="1"/>
      <c r="Z629" s="1"/>
      <c r="AA629" s="1"/>
      <c r="AB629" s="1"/>
      <c r="AC629" s="1"/>
      <c r="AD629" s="1"/>
      <c r="AE629" s="1"/>
    </row>
    <row r="630" spans="1:31" x14ac:dyDescent="0.25">
      <c r="A630" s="1"/>
      <c r="B630" s="1"/>
      <c r="C630" s="5"/>
      <c r="D630" s="5"/>
      <c r="E630" s="1"/>
      <c r="F630" s="1"/>
      <c r="G630" s="1"/>
      <c r="H630" s="1"/>
      <c r="I630" s="1"/>
      <c r="J630" s="1"/>
      <c r="K630" s="1"/>
      <c r="L630" s="1"/>
      <c r="M630" s="1"/>
      <c r="N630" s="1"/>
      <c r="O630" s="5"/>
      <c r="P630" s="5"/>
      <c r="Q630" s="5"/>
      <c r="R630" s="1"/>
      <c r="S630" s="1"/>
      <c r="T630" s="1"/>
      <c r="U630" s="1"/>
      <c r="V630" s="1"/>
      <c r="W630" s="1"/>
      <c r="X630" s="1"/>
      <c r="Y630" s="1"/>
      <c r="Z630" s="1"/>
      <c r="AA630" s="1"/>
      <c r="AB630" s="1"/>
      <c r="AC630" s="1"/>
      <c r="AD630" s="1"/>
      <c r="AE630" s="1"/>
    </row>
    <row r="631" spans="1:31" x14ac:dyDescent="0.25">
      <c r="A631" s="1"/>
      <c r="B631" s="1"/>
      <c r="C631" s="5"/>
      <c r="D631" s="5"/>
      <c r="E631" s="1"/>
      <c r="F631" s="1"/>
      <c r="G631" s="1"/>
      <c r="H631" s="1"/>
      <c r="I631" s="1"/>
      <c r="J631" s="1"/>
      <c r="K631" s="1"/>
      <c r="L631" s="1"/>
      <c r="M631" s="1"/>
      <c r="N631" s="1"/>
      <c r="O631" s="5"/>
      <c r="P631" s="5"/>
      <c r="Q631" s="5"/>
      <c r="R631" s="1"/>
      <c r="S631" s="1"/>
      <c r="T631" s="1"/>
      <c r="U631" s="1"/>
      <c r="V631" s="1"/>
      <c r="W631" s="1"/>
      <c r="X631" s="1"/>
      <c r="Y631" s="1"/>
      <c r="Z631" s="1"/>
      <c r="AA631" s="1"/>
      <c r="AB631" s="1"/>
      <c r="AC631" s="1"/>
      <c r="AD631" s="1"/>
      <c r="AE631" s="1"/>
    </row>
    <row r="632" spans="1:31" x14ac:dyDescent="0.25">
      <c r="A632" s="1"/>
      <c r="B632" s="1"/>
      <c r="C632" s="5"/>
      <c r="D632" s="5"/>
      <c r="E632" s="1"/>
      <c r="F632" s="1"/>
      <c r="G632" s="1"/>
      <c r="H632" s="1"/>
      <c r="I632" s="1"/>
      <c r="J632" s="1"/>
      <c r="K632" s="1"/>
      <c r="L632" s="1"/>
      <c r="M632" s="1"/>
      <c r="N632" s="1"/>
      <c r="O632" s="5"/>
      <c r="P632" s="5"/>
      <c r="Q632" s="5"/>
      <c r="R632" s="1"/>
      <c r="S632" s="1"/>
      <c r="T632" s="1"/>
      <c r="U632" s="1"/>
      <c r="V632" s="1"/>
      <c r="W632" s="1"/>
      <c r="X632" s="1"/>
      <c r="Y632" s="1"/>
      <c r="Z632" s="1"/>
      <c r="AA632" s="1"/>
      <c r="AB632" s="1"/>
      <c r="AC632" s="1"/>
      <c r="AD632" s="1"/>
      <c r="AE632" s="1"/>
    </row>
    <row r="633" spans="1:31" x14ac:dyDescent="0.25">
      <c r="A633" s="1"/>
      <c r="B633" s="1"/>
      <c r="C633" s="5"/>
      <c r="D633" s="5"/>
      <c r="E633" s="1"/>
      <c r="F633" s="1"/>
      <c r="G633" s="1"/>
      <c r="H633" s="1"/>
      <c r="I633" s="1"/>
      <c r="J633" s="1"/>
      <c r="K633" s="1"/>
      <c r="L633" s="1"/>
      <c r="M633" s="1"/>
      <c r="N633" s="1"/>
      <c r="O633" s="5"/>
      <c r="P633" s="5"/>
      <c r="Q633" s="5"/>
      <c r="R633" s="1"/>
      <c r="S633" s="1"/>
      <c r="T633" s="1"/>
      <c r="U633" s="1"/>
      <c r="V633" s="1"/>
      <c r="W633" s="1"/>
      <c r="X633" s="1"/>
      <c r="Y633" s="1"/>
      <c r="Z633" s="1"/>
      <c r="AA633" s="1"/>
      <c r="AB633" s="1"/>
      <c r="AC633" s="1"/>
      <c r="AD633" s="1"/>
      <c r="AE633" s="1"/>
    </row>
    <row r="634" spans="1:31" x14ac:dyDescent="0.25">
      <c r="A634" s="1"/>
      <c r="B634" s="1"/>
      <c r="C634" s="5"/>
      <c r="D634" s="5"/>
      <c r="E634" s="1"/>
      <c r="F634" s="1"/>
      <c r="G634" s="1"/>
      <c r="H634" s="1"/>
      <c r="I634" s="1"/>
      <c r="J634" s="1"/>
      <c r="K634" s="1"/>
      <c r="L634" s="1"/>
      <c r="M634" s="1"/>
      <c r="N634" s="1"/>
      <c r="O634" s="5"/>
      <c r="P634" s="5"/>
      <c r="Q634" s="5"/>
      <c r="R634" s="1"/>
      <c r="S634" s="1"/>
      <c r="T634" s="1"/>
      <c r="U634" s="1"/>
      <c r="V634" s="1"/>
      <c r="W634" s="1"/>
      <c r="X634" s="1"/>
      <c r="Y634" s="1"/>
      <c r="Z634" s="1"/>
      <c r="AA634" s="1"/>
      <c r="AB634" s="1"/>
      <c r="AC634" s="1"/>
      <c r="AD634" s="1"/>
      <c r="AE634" s="1"/>
    </row>
    <row r="635" spans="1:31" x14ac:dyDescent="0.25">
      <c r="A635" s="1"/>
      <c r="B635" s="1"/>
      <c r="C635" s="5"/>
      <c r="D635" s="5"/>
      <c r="E635" s="1"/>
      <c r="F635" s="1"/>
      <c r="G635" s="1"/>
      <c r="H635" s="1"/>
      <c r="I635" s="1"/>
      <c r="J635" s="1"/>
      <c r="K635" s="1"/>
      <c r="L635" s="1"/>
      <c r="M635" s="1"/>
      <c r="N635" s="1"/>
      <c r="O635" s="5"/>
      <c r="P635" s="5"/>
      <c r="Q635" s="5"/>
      <c r="R635" s="1"/>
      <c r="S635" s="1"/>
      <c r="T635" s="1"/>
      <c r="U635" s="1"/>
      <c r="V635" s="1"/>
      <c r="W635" s="1"/>
      <c r="X635" s="1"/>
      <c r="Y635" s="1"/>
      <c r="Z635" s="1"/>
      <c r="AA635" s="1"/>
      <c r="AB635" s="1"/>
      <c r="AC635" s="1"/>
      <c r="AD635" s="1"/>
      <c r="AE635" s="1"/>
    </row>
    <row r="636" spans="1:31" x14ac:dyDescent="0.25">
      <c r="A636" s="1"/>
      <c r="B636" s="1"/>
      <c r="C636" s="5"/>
      <c r="D636" s="5"/>
      <c r="E636" s="1"/>
      <c r="F636" s="1"/>
      <c r="G636" s="1"/>
      <c r="H636" s="1"/>
      <c r="I636" s="1"/>
      <c r="J636" s="1"/>
      <c r="K636" s="1"/>
      <c r="L636" s="1"/>
      <c r="M636" s="1"/>
      <c r="N636" s="1"/>
      <c r="O636" s="5"/>
      <c r="P636" s="5"/>
      <c r="Q636" s="5"/>
      <c r="R636" s="1"/>
      <c r="S636" s="1"/>
      <c r="T636" s="1"/>
      <c r="U636" s="1"/>
      <c r="V636" s="1"/>
      <c r="W636" s="1"/>
      <c r="X636" s="1"/>
      <c r="Y636" s="1"/>
      <c r="Z636" s="1"/>
      <c r="AA636" s="1"/>
      <c r="AB636" s="1"/>
      <c r="AC636" s="1"/>
      <c r="AD636" s="1"/>
      <c r="AE636" s="1"/>
    </row>
    <row r="637" spans="1:31" x14ac:dyDescent="0.25">
      <c r="A637" s="1"/>
      <c r="B637" s="1"/>
      <c r="C637" s="5"/>
      <c r="D637" s="5"/>
      <c r="E637" s="1"/>
      <c r="F637" s="1"/>
      <c r="G637" s="1"/>
      <c r="H637" s="1"/>
      <c r="I637" s="1"/>
      <c r="J637" s="1"/>
      <c r="K637" s="1"/>
      <c r="L637" s="1"/>
      <c r="M637" s="1"/>
      <c r="N637" s="1"/>
      <c r="O637" s="5"/>
      <c r="P637" s="5"/>
      <c r="Q637" s="5"/>
      <c r="R637" s="1"/>
      <c r="S637" s="1"/>
      <c r="T637" s="1"/>
      <c r="U637" s="1"/>
      <c r="V637" s="1"/>
      <c r="W637" s="1"/>
      <c r="X637" s="1"/>
      <c r="Y637" s="1"/>
      <c r="Z637" s="1"/>
      <c r="AA637" s="1"/>
      <c r="AB637" s="1"/>
      <c r="AC637" s="1"/>
      <c r="AD637" s="1"/>
      <c r="AE637" s="1"/>
    </row>
    <row r="638" spans="1:31" x14ac:dyDescent="0.25">
      <c r="A638" s="1"/>
      <c r="B638" s="1"/>
      <c r="C638" s="5"/>
      <c r="D638" s="5"/>
      <c r="E638" s="1"/>
      <c r="F638" s="1"/>
      <c r="G638" s="1"/>
      <c r="H638" s="1"/>
      <c r="I638" s="1"/>
      <c r="J638" s="1"/>
      <c r="K638" s="1"/>
      <c r="L638" s="1"/>
      <c r="M638" s="1"/>
      <c r="N638" s="1"/>
      <c r="O638" s="5"/>
      <c r="P638" s="5"/>
      <c r="Q638" s="5"/>
      <c r="R638" s="1"/>
      <c r="S638" s="1"/>
      <c r="T638" s="1"/>
      <c r="U638" s="1"/>
      <c r="V638" s="1"/>
      <c r="W638" s="1"/>
      <c r="X638" s="1"/>
      <c r="Y638" s="1"/>
      <c r="Z638" s="1"/>
      <c r="AA638" s="1"/>
      <c r="AB638" s="1"/>
      <c r="AC638" s="1"/>
      <c r="AD638" s="1"/>
      <c r="AE638" s="1"/>
    </row>
    <row r="639" spans="1:31" x14ac:dyDescent="0.25">
      <c r="A639" s="1"/>
      <c r="B639" s="1"/>
      <c r="C639" s="5"/>
      <c r="D639" s="5"/>
      <c r="E639" s="1"/>
      <c r="F639" s="1"/>
      <c r="G639" s="1"/>
      <c r="H639" s="1"/>
      <c r="I639" s="1"/>
      <c r="J639" s="1"/>
      <c r="K639" s="1"/>
      <c r="L639" s="1"/>
      <c r="M639" s="1"/>
      <c r="N639" s="1"/>
      <c r="O639" s="5"/>
      <c r="P639" s="5"/>
      <c r="Q639" s="5"/>
      <c r="R639" s="1"/>
      <c r="S639" s="1"/>
      <c r="T639" s="1"/>
      <c r="U639" s="1"/>
      <c r="V639" s="1"/>
      <c r="W639" s="1"/>
      <c r="X639" s="1"/>
      <c r="Y639" s="1"/>
      <c r="Z639" s="1"/>
      <c r="AA639" s="1"/>
      <c r="AB639" s="1"/>
      <c r="AC639" s="1"/>
      <c r="AD639" s="1"/>
      <c r="AE639" s="1"/>
    </row>
    <row r="640" spans="1:31" x14ac:dyDescent="0.25">
      <c r="A640" s="1"/>
      <c r="B640" s="1"/>
      <c r="C640" s="5"/>
      <c r="D640" s="5"/>
      <c r="E640" s="1"/>
      <c r="F640" s="1"/>
      <c r="G640" s="1"/>
      <c r="H640" s="1"/>
      <c r="I640" s="1"/>
      <c r="J640" s="1"/>
      <c r="K640" s="1"/>
      <c r="L640" s="1"/>
      <c r="M640" s="1"/>
      <c r="N640" s="1"/>
      <c r="O640" s="5"/>
      <c r="P640" s="5"/>
      <c r="Q640" s="5"/>
      <c r="R640" s="1"/>
      <c r="S640" s="1"/>
      <c r="T640" s="1"/>
      <c r="U640" s="1"/>
      <c r="V640" s="1"/>
      <c r="W640" s="1"/>
      <c r="X640" s="1"/>
      <c r="Y640" s="1"/>
      <c r="Z640" s="1"/>
      <c r="AA640" s="1"/>
      <c r="AB640" s="1"/>
      <c r="AC640" s="1"/>
      <c r="AD640" s="1"/>
      <c r="AE640" s="1"/>
    </row>
    <row r="641" spans="1:31" x14ac:dyDescent="0.25">
      <c r="A641" s="1"/>
      <c r="B641" s="1"/>
      <c r="C641" s="5"/>
      <c r="D641" s="5"/>
      <c r="E641" s="1"/>
      <c r="F641" s="1"/>
      <c r="G641" s="1"/>
      <c r="H641" s="1"/>
      <c r="I641" s="1"/>
      <c r="J641" s="1"/>
      <c r="K641" s="1"/>
      <c r="L641" s="1"/>
      <c r="M641" s="1"/>
      <c r="N641" s="1"/>
      <c r="O641" s="5"/>
      <c r="P641" s="5"/>
      <c r="Q641" s="5"/>
      <c r="R641" s="1"/>
      <c r="S641" s="1"/>
      <c r="T641" s="1"/>
      <c r="U641" s="1"/>
      <c r="V641" s="1"/>
      <c r="W641" s="1"/>
      <c r="X641" s="1"/>
      <c r="Y641" s="1"/>
      <c r="Z641" s="1"/>
      <c r="AA641" s="1"/>
      <c r="AB641" s="1"/>
      <c r="AC641" s="1"/>
      <c r="AD641" s="1"/>
      <c r="AE641" s="1"/>
    </row>
  </sheetData>
  <mergeCells count="249">
    <mergeCell ref="B179:Q179"/>
    <mergeCell ref="H182:K182"/>
    <mergeCell ref="L182:M183"/>
    <mergeCell ref="N182:N184"/>
    <mergeCell ref="O182:O184"/>
    <mergeCell ref="H183:I183"/>
    <mergeCell ref="B199:B203"/>
    <mergeCell ref="J183:K183"/>
    <mergeCell ref="B221:B226"/>
    <mergeCell ref="B216:Q216"/>
    <mergeCell ref="B217:Q217"/>
    <mergeCell ref="B218:B220"/>
    <mergeCell ref="Q218:Q220"/>
    <mergeCell ref="P182:P184"/>
    <mergeCell ref="Q182:Q184"/>
    <mergeCell ref="B185:B190"/>
    <mergeCell ref="B192:B198"/>
    <mergeCell ref="B204:B212"/>
    <mergeCell ref="B228:B234"/>
    <mergeCell ref="B235:B239"/>
    <mergeCell ref="E218:E220"/>
    <mergeCell ref="F218:F220"/>
    <mergeCell ref="G218:G220"/>
    <mergeCell ref="B136:B144"/>
    <mergeCell ref="B148:B150"/>
    <mergeCell ref="C148:C150"/>
    <mergeCell ref="D148:D150"/>
    <mergeCell ref="E148:E150"/>
    <mergeCell ref="F148:F150"/>
    <mergeCell ref="G148:G150"/>
    <mergeCell ref="E182:E184"/>
    <mergeCell ref="F182:F184"/>
    <mergeCell ref="G182:G184"/>
    <mergeCell ref="B151:B156"/>
    <mergeCell ref="B158:B164"/>
    <mergeCell ref="B165:B169"/>
    <mergeCell ref="B170:B178"/>
    <mergeCell ref="B182:B184"/>
    <mergeCell ref="C182:C184"/>
    <mergeCell ref="B191:Q191"/>
    <mergeCell ref="D182:D184"/>
    <mergeCell ref="B213:Q213"/>
    <mergeCell ref="E286:E288"/>
    <mergeCell ref="F286:F288"/>
    <mergeCell ref="G286:G288"/>
    <mergeCell ref="B255:B260"/>
    <mergeCell ref="B262:B268"/>
    <mergeCell ref="B269:B273"/>
    <mergeCell ref="B274:B282"/>
    <mergeCell ref="B286:B288"/>
    <mergeCell ref="C286:C288"/>
    <mergeCell ref="D286:D288"/>
    <mergeCell ref="B49:B54"/>
    <mergeCell ref="B55:Q55"/>
    <mergeCell ref="B56:B62"/>
    <mergeCell ref="B63:B67"/>
    <mergeCell ref="B68:B76"/>
    <mergeCell ref="B77:Q77"/>
    <mergeCell ref="B80:B82"/>
    <mergeCell ref="Q80:Q82"/>
    <mergeCell ref="G80:G82"/>
    <mergeCell ref="H80:K80"/>
    <mergeCell ref="H81:I81"/>
    <mergeCell ref="J81:K81"/>
    <mergeCell ref="C80:C82"/>
    <mergeCell ref="D80:D82"/>
    <mergeCell ref="E80:E82"/>
    <mergeCell ref="F80:F82"/>
    <mergeCell ref="L80:M81"/>
    <mergeCell ref="N80:N82"/>
    <mergeCell ref="O80:O82"/>
    <mergeCell ref="P80:P82"/>
    <mergeCell ref="H114:K114"/>
    <mergeCell ref="L114:M115"/>
    <mergeCell ref="H115:I115"/>
    <mergeCell ref="J115:K115"/>
    <mergeCell ref="N114:N116"/>
    <mergeCell ref="O114:O116"/>
    <mergeCell ref="P114:P116"/>
    <mergeCell ref="Q114:Q116"/>
    <mergeCell ref="B97:B101"/>
    <mergeCell ref="B102:B110"/>
    <mergeCell ref="B111:Q111"/>
    <mergeCell ref="B114:B116"/>
    <mergeCell ref="C114:C116"/>
    <mergeCell ref="D114:D116"/>
    <mergeCell ref="E114:E116"/>
    <mergeCell ref="F114:F116"/>
    <mergeCell ref="G114:G116"/>
    <mergeCell ref="O286:O288"/>
    <mergeCell ref="P286:P288"/>
    <mergeCell ref="J287:K287"/>
    <mergeCell ref="E12:E14"/>
    <mergeCell ref="F12:F14"/>
    <mergeCell ref="G12:G14"/>
    <mergeCell ref="H12:K12"/>
    <mergeCell ref="H13:I13"/>
    <mergeCell ref="J13:K13"/>
    <mergeCell ref="L12:M13"/>
    <mergeCell ref="N12:N14"/>
    <mergeCell ref="O12:O14"/>
    <mergeCell ref="P12:P14"/>
    <mergeCell ref="B21:Q21"/>
    <mergeCell ref="B43:Q43"/>
    <mergeCell ref="L45:M45"/>
    <mergeCell ref="P46:P48"/>
    <mergeCell ref="Q46:Q48"/>
    <mergeCell ref="B15:B20"/>
    <mergeCell ref="B22:B28"/>
    <mergeCell ref="B29:B33"/>
    <mergeCell ref="B83:B88"/>
    <mergeCell ref="B89:Q89"/>
    <mergeCell ref="B90:B96"/>
    <mergeCell ref="B1:Q1"/>
    <mergeCell ref="B3:Q3"/>
    <mergeCell ref="G5:P5"/>
    <mergeCell ref="G6:P6"/>
    <mergeCell ref="B10:Q10"/>
    <mergeCell ref="B11:Q11"/>
    <mergeCell ref="B12:B14"/>
    <mergeCell ref="C12:C14"/>
    <mergeCell ref="D12:D14"/>
    <mergeCell ref="Q12:Q14"/>
    <mergeCell ref="B34:B42"/>
    <mergeCell ref="B46:B48"/>
    <mergeCell ref="N46:N48"/>
    <mergeCell ref="O46:O48"/>
    <mergeCell ref="H47:I47"/>
    <mergeCell ref="J47:K47"/>
    <mergeCell ref="C46:C48"/>
    <mergeCell ref="D46:D48"/>
    <mergeCell ref="E46:E48"/>
    <mergeCell ref="F46:F48"/>
    <mergeCell ref="G46:G48"/>
    <mergeCell ref="H46:K46"/>
    <mergeCell ref="L46:M47"/>
    <mergeCell ref="B117:B122"/>
    <mergeCell ref="B123:Q123"/>
    <mergeCell ref="B124:B130"/>
    <mergeCell ref="B131:B135"/>
    <mergeCell ref="B145:Q145"/>
    <mergeCell ref="H148:K148"/>
    <mergeCell ref="L148:M149"/>
    <mergeCell ref="N148:N150"/>
    <mergeCell ref="O148:O150"/>
    <mergeCell ref="P148:P150"/>
    <mergeCell ref="Q148:Q150"/>
    <mergeCell ref="H149:I149"/>
    <mergeCell ref="J149:K149"/>
    <mergeCell ref="B157:Q157"/>
    <mergeCell ref="H252:K252"/>
    <mergeCell ref="H253:I253"/>
    <mergeCell ref="J253:K253"/>
    <mergeCell ref="C218:C220"/>
    <mergeCell ref="D218:D220"/>
    <mergeCell ref="B227:Q227"/>
    <mergeCell ref="B249:Q249"/>
    <mergeCell ref="L252:M253"/>
    <mergeCell ref="N252:N254"/>
    <mergeCell ref="Q252:Q254"/>
    <mergeCell ref="H218:K218"/>
    <mergeCell ref="H219:I219"/>
    <mergeCell ref="J219:K219"/>
    <mergeCell ref="L218:M219"/>
    <mergeCell ref="N218:N220"/>
    <mergeCell ref="O218:O220"/>
    <mergeCell ref="P218:P220"/>
    <mergeCell ref="B240:B248"/>
    <mergeCell ref="B252:B254"/>
    <mergeCell ref="C252:C254"/>
    <mergeCell ref="D252:D254"/>
    <mergeCell ref="E252:E254"/>
    <mergeCell ref="F252:F254"/>
    <mergeCell ref="G252:G254"/>
    <mergeCell ref="B357:B362"/>
    <mergeCell ref="B363:Q363"/>
    <mergeCell ref="B364:B370"/>
    <mergeCell ref="B371:B375"/>
    <mergeCell ref="B385:Q385"/>
    <mergeCell ref="J389:K389"/>
    <mergeCell ref="B397:Q397"/>
    <mergeCell ref="B419:Q419"/>
    <mergeCell ref="H388:K388"/>
    <mergeCell ref="L388:M389"/>
    <mergeCell ref="N388:N390"/>
    <mergeCell ref="O388:O390"/>
    <mergeCell ref="P388:P390"/>
    <mergeCell ref="Q388:Q390"/>
    <mergeCell ref="H389:I389"/>
    <mergeCell ref="B391:B396"/>
    <mergeCell ref="B398:B404"/>
    <mergeCell ref="B405:B409"/>
    <mergeCell ref="B410:B418"/>
    <mergeCell ref="B376:B384"/>
    <mergeCell ref="B388:B390"/>
    <mergeCell ref="C388:C390"/>
    <mergeCell ref="D388:D390"/>
    <mergeCell ref="E388:E390"/>
    <mergeCell ref="F388:F390"/>
    <mergeCell ref="G388:G390"/>
    <mergeCell ref="O252:O254"/>
    <mergeCell ref="P252:P254"/>
    <mergeCell ref="B261:Q261"/>
    <mergeCell ref="B283:Q283"/>
    <mergeCell ref="L286:M287"/>
    <mergeCell ref="N286:N288"/>
    <mergeCell ref="Q286:Q288"/>
    <mergeCell ref="H286:K286"/>
    <mergeCell ref="H287:I287"/>
    <mergeCell ref="B289:B294"/>
    <mergeCell ref="B295:Q295"/>
    <mergeCell ref="B296:B302"/>
    <mergeCell ref="B303:B307"/>
    <mergeCell ref="B317:Q317"/>
    <mergeCell ref="J321:K321"/>
    <mergeCell ref="B329:Q329"/>
    <mergeCell ref="B351:Q351"/>
    <mergeCell ref="H320:K320"/>
    <mergeCell ref="L320:M321"/>
    <mergeCell ref="N320:N322"/>
    <mergeCell ref="O320:O322"/>
    <mergeCell ref="P320:P322"/>
    <mergeCell ref="Q320:Q322"/>
    <mergeCell ref="H321:I321"/>
    <mergeCell ref="B308:B316"/>
    <mergeCell ref="B320:B322"/>
    <mergeCell ref="C320:C322"/>
    <mergeCell ref="D320:D322"/>
    <mergeCell ref="E320:E322"/>
    <mergeCell ref="F320:F322"/>
    <mergeCell ref="G320:G322"/>
    <mergeCell ref="B323:B328"/>
    <mergeCell ref="B330:B336"/>
    <mergeCell ref="B337:B341"/>
    <mergeCell ref="B342:B350"/>
    <mergeCell ref="B354:B356"/>
    <mergeCell ref="C354:C356"/>
    <mergeCell ref="D354:D356"/>
    <mergeCell ref="P354:P356"/>
    <mergeCell ref="Q354:Q356"/>
    <mergeCell ref="E354:E356"/>
    <mergeCell ref="F354:F356"/>
    <mergeCell ref="G354:G356"/>
    <mergeCell ref="H354:K354"/>
    <mergeCell ref="L354:M355"/>
    <mergeCell ref="N354:N356"/>
    <mergeCell ref="O354:O356"/>
    <mergeCell ref="H355:I355"/>
    <mergeCell ref="J355:K355"/>
  </mergeCells>
  <hyperlinks>
    <hyperlink ref="C15" r:id="rId1" xr:uid="{00000000-0004-0000-0100-000000000000}"/>
    <hyperlink ref="O15" r:id="rId2" xr:uid="{00000000-0004-0000-0100-000001000000}"/>
    <hyperlink ref="P15" r:id="rId3" xr:uid="{00000000-0004-0000-0100-000002000000}"/>
    <hyperlink ref="C17" r:id="rId4" xr:uid="{00000000-0004-0000-0100-000003000000}"/>
    <hyperlink ref="O17" r:id="rId5" xr:uid="{00000000-0004-0000-0100-000004000000}"/>
    <hyperlink ref="P17" r:id="rId6" xr:uid="{00000000-0004-0000-0100-000005000000}"/>
    <hyperlink ref="C18" r:id="rId7" xr:uid="{00000000-0004-0000-0100-000006000000}"/>
    <hyperlink ref="O18" r:id="rId8" xr:uid="{00000000-0004-0000-0100-000007000000}"/>
    <hyperlink ref="P18" r:id="rId9" xr:uid="{00000000-0004-0000-0100-000008000000}"/>
    <hyperlink ref="C19" r:id="rId10" xr:uid="{00000000-0004-0000-0100-000009000000}"/>
    <hyperlink ref="O19" r:id="rId11" xr:uid="{00000000-0004-0000-0100-00000A000000}"/>
    <hyperlink ref="P19" r:id="rId12" xr:uid="{00000000-0004-0000-0100-00000B000000}"/>
    <hyperlink ref="C20" r:id="rId13" xr:uid="{00000000-0004-0000-0100-00000C000000}"/>
    <hyperlink ref="O20" r:id="rId14" xr:uid="{00000000-0004-0000-0100-00000D000000}"/>
    <hyperlink ref="P20" r:id="rId15" xr:uid="{00000000-0004-0000-0100-00000E000000}"/>
    <hyperlink ref="C22" r:id="rId16" xr:uid="{00000000-0004-0000-0100-00000F000000}"/>
    <hyperlink ref="O22" r:id="rId17" xr:uid="{00000000-0004-0000-0100-000010000000}"/>
    <hyperlink ref="P22" r:id="rId18" xr:uid="{00000000-0004-0000-0100-000011000000}"/>
    <hyperlink ref="C23" r:id="rId19" xr:uid="{00000000-0004-0000-0100-000012000000}"/>
    <hyperlink ref="O23" r:id="rId20" xr:uid="{00000000-0004-0000-0100-000013000000}"/>
    <hyperlink ref="P23" r:id="rId21" xr:uid="{00000000-0004-0000-0100-000014000000}"/>
    <hyperlink ref="C24" r:id="rId22" xr:uid="{00000000-0004-0000-0100-000015000000}"/>
    <hyperlink ref="O24" r:id="rId23" xr:uid="{00000000-0004-0000-0100-000016000000}"/>
    <hyperlink ref="P24" r:id="rId24" xr:uid="{00000000-0004-0000-0100-000017000000}"/>
    <hyperlink ref="C25" r:id="rId25" xr:uid="{00000000-0004-0000-0100-000018000000}"/>
    <hyperlink ref="O25" r:id="rId26" xr:uid="{00000000-0004-0000-0100-000019000000}"/>
    <hyperlink ref="P25" r:id="rId27" xr:uid="{00000000-0004-0000-0100-00001A000000}"/>
    <hyperlink ref="C26" r:id="rId28" xr:uid="{00000000-0004-0000-0100-00001B000000}"/>
    <hyperlink ref="O26" r:id="rId29" xr:uid="{00000000-0004-0000-0100-00001C000000}"/>
    <hyperlink ref="P26" r:id="rId30" xr:uid="{00000000-0004-0000-0100-00001D000000}"/>
    <hyperlink ref="C27" r:id="rId31" xr:uid="{00000000-0004-0000-0100-00001E000000}"/>
    <hyperlink ref="O27" r:id="rId32" xr:uid="{00000000-0004-0000-0100-00001F000000}"/>
    <hyperlink ref="P27" r:id="rId33" xr:uid="{00000000-0004-0000-0100-000020000000}"/>
    <hyperlink ref="C28" r:id="rId34" xr:uid="{00000000-0004-0000-0100-000021000000}"/>
    <hyperlink ref="O28" r:id="rId35" xr:uid="{00000000-0004-0000-0100-000022000000}"/>
    <hyperlink ref="P28" r:id="rId36" xr:uid="{00000000-0004-0000-0100-000023000000}"/>
    <hyperlink ref="C29" r:id="rId37" xr:uid="{00000000-0004-0000-0100-000024000000}"/>
    <hyperlink ref="O29" r:id="rId38" xr:uid="{00000000-0004-0000-0100-000025000000}"/>
    <hyperlink ref="P29" r:id="rId39" xr:uid="{00000000-0004-0000-0100-000026000000}"/>
    <hyperlink ref="C30" r:id="rId40" xr:uid="{00000000-0004-0000-0100-000027000000}"/>
    <hyperlink ref="O30" r:id="rId41" xr:uid="{00000000-0004-0000-0100-000028000000}"/>
    <hyperlink ref="P30" r:id="rId42" xr:uid="{00000000-0004-0000-0100-000029000000}"/>
    <hyperlink ref="C31" r:id="rId43" xr:uid="{00000000-0004-0000-0100-00002A000000}"/>
    <hyperlink ref="O31" r:id="rId44" xr:uid="{00000000-0004-0000-0100-00002B000000}"/>
    <hyperlink ref="P31" r:id="rId45" xr:uid="{00000000-0004-0000-0100-00002C000000}"/>
    <hyperlink ref="C32" r:id="rId46" xr:uid="{00000000-0004-0000-0100-00002D000000}"/>
    <hyperlink ref="O32" r:id="rId47" xr:uid="{00000000-0004-0000-0100-00002E000000}"/>
    <hyperlink ref="P32" r:id="rId48" xr:uid="{00000000-0004-0000-0100-00002F000000}"/>
    <hyperlink ref="C33" r:id="rId49" xr:uid="{00000000-0004-0000-0100-000030000000}"/>
    <hyperlink ref="O33" r:id="rId50" xr:uid="{00000000-0004-0000-0100-000031000000}"/>
    <hyperlink ref="P33" r:id="rId51" xr:uid="{00000000-0004-0000-0100-000032000000}"/>
    <hyperlink ref="C34" r:id="rId52" xr:uid="{00000000-0004-0000-0100-000033000000}"/>
    <hyperlink ref="O34" r:id="rId53" xr:uid="{00000000-0004-0000-0100-000034000000}"/>
    <hyperlink ref="P34" r:id="rId54" xr:uid="{00000000-0004-0000-0100-000035000000}"/>
    <hyperlink ref="C35" r:id="rId55" xr:uid="{00000000-0004-0000-0100-000036000000}"/>
    <hyperlink ref="O35" r:id="rId56" xr:uid="{00000000-0004-0000-0100-000037000000}"/>
    <hyperlink ref="P35" r:id="rId57" xr:uid="{00000000-0004-0000-0100-000038000000}"/>
    <hyperlink ref="C36" r:id="rId58" xr:uid="{00000000-0004-0000-0100-000039000000}"/>
    <hyperlink ref="O36" r:id="rId59" xr:uid="{00000000-0004-0000-0100-00003A000000}"/>
    <hyperlink ref="P36" r:id="rId60" xr:uid="{00000000-0004-0000-0100-00003B000000}"/>
    <hyperlink ref="C37" r:id="rId61" xr:uid="{00000000-0004-0000-0100-00003C000000}"/>
    <hyperlink ref="O37" r:id="rId62" xr:uid="{00000000-0004-0000-0100-00003D000000}"/>
    <hyperlink ref="P37" r:id="rId63" xr:uid="{00000000-0004-0000-0100-00003E000000}"/>
    <hyperlink ref="C38" r:id="rId64" xr:uid="{00000000-0004-0000-0100-00003F000000}"/>
    <hyperlink ref="O38" r:id="rId65" xr:uid="{00000000-0004-0000-0100-000040000000}"/>
    <hyperlink ref="C39" r:id="rId66" xr:uid="{00000000-0004-0000-0100-000041000000}"/>
    <hyperlink ref="O39" r:id="rId67" xr:uid="{00000000-0004-0000-0100-000042000000}"/>
    <hyperlink ref="C40" r:id="rId68" xr:uid="{00000000-0004-0000-0100-000043000000}"/>
    <hyperlink ref="O40" r:id="rId69" xr:uid="{00000000-0004-0000-0100-000044000000}"/>
    <hyperlink ref="P40" r:id="rId70" xr:uid="{00000000-0004-0000-0100-000045000000}"/>
    <hyperlink ref="C41" r:id="rId71" xr:uid="{00000000-0004-0000-0100-000046000000}"/>
    <hyperlink ref="O41" r:id="rId72" xr:uid="{00000000-0004-0000-0100-000047000000}"/>
    <hyperlink ref="P41" r:id="rId73" xr:uid="{00000000-0004-0000-0100-000048000000}"/>
    <hyperlink ref="C42" r:id="rId74" xr:uid="{00000000-0004-0000-0100-000049000000}"/>
    <hyperlink ref="C49" r:id="rId75" xr:uid="{00000000-0004-0000-0100-00004A000000}"/>
    <hyperlink ref="O49" r:id="rId76" xr:uid="{00000000-0004-0000-0100-00004B000000}"/>
    <hyperlink ref="P49" r:id="rId77" xr:uid="{00000000-0004-0000-0100-00004C000000}"/>
    <hyperlink ref="C51" r:id="rId78" xr:uid="{00000000-0004-0000-0100-00004D000000}"/>
    <hyperlink ref="O51" r:id="rId79" xr:uid="{00000000-0004-0000-0100-00004E000000}"/>
    <hyperlink ref="P51" r:id="rId80" xr:uid="{00000000-0004-0000-0100-00004F000000}"/>
    <hyperlink ref="C52" r:id="rId81" xr:uid="{00000000-0004-0000-0100-000050000000}"/>
    <hyperlink ref="O52" r:id="rId82" xr:uid="{00000000-0004-0000-0100-000051000000}"/>
    <hyperlink ref="P52" r:id="rId83" xr:uid="{00000000-0004-0000-0100-000052000000}"/>
    <hyperlink ref="C53" r:id="rId84" xr:uid="{00000000-0004-0000-0100-000053000000}"/>
    <hyperlink ref="O53" r:id="rId85" xr:uid="{00000000-0004-0000-0100-000054000000}"/>
    <hyperlink ref="P53" r:id="rId86" xr:uid="{00000000-0004-0000-0100-000055000000}"/>
    <hyperlink ref="C54" r:id="rId87" xr:uid="{00000000-0004-0000-0100-000056000000}"/>
    <hyperlink ref="O54" r:id="rId88" xr:uid="{00000000-0004-0000-0100-000057000000}"/>
    <hyperlink ref="P54" r:id="rId89" xr:uid="{00000000-0004-0000-0100-000058000000}"/>
    <hyperlink ref="C56" r:id="rId90" xr:uid="{00000000-0004-0000-0100-000059000000}"/>
    <hyperlink ref="O56" r:id="rId91" xr:uid="{00000000-0004-0000-0100-00005A000000}"/>
    <hyperlink ref="P56" r:id="rId92" xr:uid="{00000000-0004-0000-0100-00005B000000}"/>
    <hyperlink ref="C57" r:id="rId93" xr:uid="{00000000-0004-0000-0100-00005C000000}"/>
    <hyperlink ref="O57" r:id="rId94" xr:uid="{00000000-0004-0000-0100-00005D000000}"/>
    <hyperlink ref="P57" r:id="rId95" xr:uid="{00000000-0004-0000-0100-00005E000000}"/>
    <hyperlink ref="C58" r:id="rId96" xr:uid="{00000000-0004-0000-0100-00005F000000}"/>
    <hyperlink ref="O58" r:id="rId97" xr:uid="{00000000-0004-0000-0100-000060000000}"/>
    <hyperlink ref="P58" r:id="rId98" xr:uid="{00000000-0004-0000-0100-000061000000}"/>
    <hyperlink ref="C59" r:id="rId99" xr:uid="{00000000-0004-0000-0100-000062000000}"/>
    <hyperlink ref="O59" r:id="rId100" xr:uid="{00000000-0004-0000-0100-000063000000}"/>
    <hyperlink ref="P59" r:id="rId101" xr:uid="{00000000-0004-0000-0100-000064000000}"/>
    <hyperlink ref="C60" r:id="rId102" xr:uid="{00000000-0004-0000-0100-000065000000}"/>
    <hyperlink ref="O60" r:id="rId103" xr:uid="{00000000-0004-0000-0100-000066000000}"/>
    <hyperlink ref="P60" r:id="rId104" xr:uid="{00000000-0004-0000-0100-000067000000}"/>
    <hyperlink ref="C61" r:id="rId105" xr:uid="{00000000-0004-0000-0100-000068000000}"/>
    <hyperlink ref="O61" r:id="rId106" xr:uid="{00000000-0004-0000-0100-000069000000}"/>
    <hyperlink ref="P61" r:id="rId107" xr:uid="{00000000-0004-0000-0100-00006A000000}"/>
    <hyperlink ref="C62" r:id="rId108" xr:uid="{00000000-0004-0000-0100-00006B000000}"/>
    <hyperlink ref="O62" r:id="rId109" xr:uid="{00000000-0004-0000-0100-00006C000000}"/>
    <hyperlink ref="P62" r:id="rId110" xr:uid="{00000000-0004-0000-0100-00006D000000}"/>
    <hyperlink ref="C63" r:id="rId111" xr:uid="{00000000-0004-0000-0100-00006E000000}"/>
    <hyperlink ref="O63" r:id="rId112" xr:uid="{00000000-0004-0000-0100-00006F000000}"/>
    <hyperlink ref="P63" r:id="rId113" xr:uid="{00000000-0004-0000-0100-000070000000}"/>
    <hyperlink ref="C64" r:id="rId114" xr:uid="{00000000-0004-0000-0100-000071000000}"/>
    <hyperlink ref="O64" r:id="rId115" xr:uid="{00000000-0004-0000-0100-000072000000}"/>
    <hyperlink ref="P64" r:id="rId116" xr:uid="{00000000-0004-0000-0100-000073000000}"/>
    <hyperlink ref="C65" r:id="rId117" xr:uid="{00000000-0004-0000-0100-000074000000}"/>
    <hyperlink ref="O65" r:id="rId118" xr:uid="{00000000-0004-0000-0100-000075000000}"/>
    <hyperlink ref="P65" r:id="rId119" xr:uid="{00000000-0004-0000-0100-000076000000}"/>
    <hyperlink ref="C66" r:id="rId120" xr:uid="{00000000-0004-0000-0100-000077000000}"/>
    <hyperlink ref="O66" r:id="rId121" xr:uid="{00000000-0004-0000-0100-000078000000}"/>
    <hyperlink ref="P66" r:id="rId122" xr:uid="{00000000-0004-0000-0100-000079000000}"/>
    <hyperlink ref="C67" r:id="rId123" xr:uid="{00000000-0004-0000-0100-00007A000000}"/>
    <hyperlink ref="O67" r:id="rId124" xr:uid="{00000000-0004-0000-0100-00007B000000}"/>
    <hyperlink ref="P67" r:id="rId125" xr:uid="{00000000-0004-0000-0100-00007C000000}"/>
    <hyperlink ref="C68" r:id="rId126" xr:uid="{00000000-0004-0000-0100-00007D000000}"/>
    <hyperlink ref="O68" r:id="rId127" xr:uid="{00000000-0004-0000-0100-00007E000000}"/>
    <hyperlink ref="P68" r:id="rId128" xr:uid="{00000000-0004-0000-0100-00007F000000}"/>
    <hyperlink ref="C69" r:id="rId129" xr:uid="{00000000-0004-0000-0100-000080000000}"/>
    <hyperlink ref="O69" r:id="rId130" xr:uid="{00000000-0004-0000-0100-000081000000}"/>
    <hyperlink ref="P69" r:id="rId131" xr:uid="{00000000-0004-0000-0100-000082000000}"/>
    <hyperlink ref="C70" r:id="rId132" xr:uid="{00000000-0004-0000-0100-000083000000}"/>
    <hyperlink ref="O70" r:id="rId133" xr:uid="{00000000-0004-0000-0100-000084000000}"/>
    <hyperlink ref="P70" r:id="rId134" xr:uid="{00000000-0004-0000-0100-000085000000}"/>
    <hyperlink ref="C71" r:id="rId135" xr:uid="{00000000-0004-0000-0100-000086000000}"/>
    <hyperlink ref="O71" r:id="rId136" xr:uid="{00000000-0004-0000-0100-000087000000}"/>
    <hyperlink ref="P71" r:id="rId137" xr:uid="{00000000-0004-0000-0100-000088000000}"/>
    <hyperlink ref="C72" r:id="rId138" xr:uid="{00000000-0004-0000-0100-000089000000}"/>
    <hyperlink ref="O72" r:id="rId139" xr:uid="{00000000-0004-0000-0100-00008A000000}"/>
    <hyperlink ref="C73" r:id="rId140" xr:uid="{00000000-0004-0000-0100-00008B000000}"/>
    <hyperlink ref="O73" r:id="rId141" xr:uid="{00000000-0004-0000-0100-00008C000000}"/>
    <hyperlink ref="C74" r:id="rId142" xr:uid="{00000000-0004-0000-0100-00008D000000}"/>
    <hyperlink ref="O74" r:id="rId143" xr:uid="{00000000-0004-0000-0100-00008E000000}"/>
    <hyperlink ref="P74" r:id="rId144" xr:uid="{00000000-0004-0000-0100-00008F000000}"/>
    <hyperlink ref="C75" r:id="rId145" xr:uid="{00000000-0004-0000-0100-000090000000}"/>
    <hyperlink ref="O75" r:id="rId146" xr:uid="{00000000-0004-0000-0100-000091000000}"/>
    <hyperlink ref="P75" r:id="rId147" xr:uid="{00000000-0004-0000-0100-000092000000}"/>
    <hyperlink ref="C76" r:id="rId148" xr:uid="{00000000-0004-0000-0100-000093000000}"/>
    <hyperlink ref="C83" r:id="rId149" xr:uid="{00000000-0004-0000-0100-000094000000}"/>
    <hyperlink ref="O83" r:id="rId150" xr:uid="{00000000-0004-0000-0100-000095000000}"/>
    <hyperlink ref="P83" r:id="rId151" xr:uid="{00000000-0004-0000-0100-000096000000}"/>
    <hyperlink ref="C85" r:id="rId152" xr:uid="{00000000-0004-0000-0100-000097000000}"/>
    <hyperlink ref="O85" r:id="rId153" xr:uid="{00000000-0004-0000-0100-000098000000}"/>
    <hyperlink ref="P85" r:id="rId154" xr:uid="{00000000-0004-0000-0100-000099000000}"/>
    <hyperlink ref="C86" r:id="rId155" xr:uid="{00000000-0004-0000-0100-00009A000000}"/>
    <hyperlink ref="O86" r:id="rId156" xr:uid="{00000000-0004-0000-0100-00009B000000}"/>
    <hyperlink ref="P86" r:id="rId157" xr:uid="{00000000-0004-0000-0100-00009C000000}"/>
    <hyperlink ref="C87" r:id="rId158" xr:uid="{00000000-0004-0000-0100-00009D000000}"/>
    <hyperlink ref="O87" r:id="rId159" xr:uid="{00000000-0004-0000-0100-00009E000000}"/>
    <hyperlink ref="P87" r:id="rId160" xr:uid="{00000000-0004-0000-0100-00009F000000}"/>
    <hyperlink ref="C88" r:id="rId161" xr:uid="{00000000-0004-0000-0100-0000A0000000}"/>
    <hyperlink ref="O88" r:id="rId162" xr:uid="{00000000-0004-0000-0100-0000A1000000}"/>
    <hyperlink ref="P88" r:id="rId163" xr:uid="{00000000-0004-0000-0100-0000A2000000}"/>
    <hyperlink ref="C90" r:id="rId164" xr:uid="{00000000-0004-0000-0100-0000A3000000}"/>
    <hyperlink ref="O90" r:id="rId165" xr:uid="{00000000-0004-0000-0100-0000A4000000}"/>
    <hyperlink ref="P90" r:id="rId166" xr:uid="{00000000-0004-0000-0100-0000A5000000}"/>
    <hyperlink ref="C91" r:id="rId167" xr:uid="{00000000-0004-0000-0100-0000A6000000}"/>
    <hyperlink ref="O91" r:id="rId168" xr:uid="{00000000-0004-0000-0100-0000A7000000}"/>
    <hyperlink ref="P91" r:id="rId169" xr:uid="{00000000-0004-0000-0100-0000A8000000}"/>
    <hyperlink ref="C92" r:id="rId170" xr:uid="{00000000-0004-0000-0100-0000A9000000}"/>
    <hyperlink ref="O92" r:id="rId171" xr:uid="{00000000-0004-0000-0100-0000AA000000}"/>
    <hyperlink ref="P92" r:id="rId172" xr:uid="{00000000-0004-0000-0100-0000AB000000}"/>
    <hyperlink ref="C93" r:id="rId173" xr:uid="{00000000-0004-0000-0100-0000AC000000}"/>
    <hyperlink ref="O93" r:id="rId174" xr:uid="{00000000-0004-0000-0100-0000AD000000}"/>
    <hyperlink ref="P93" r:id="rId175" xr:uid="{00000000-0004-0000-0100-0000AE000000}"/>
    <hyperlink ref="C94" r:id="rId176" xr:uid="{00000000-0004-0000-0100-0000AF000000}"/>
    <hyperlink ref="O94" r:id="rId177" xr:uid="{00000000-0004-0000-0100-0000B0000000}"/>
    <hyperlink ref="P94" r:id="rId178" xr:uid="{00000000-0004-0000-0100-0000B1000000}"/>
    <hyperlink ref="C95" r:id="rId179" xr:uid="{00000000-0004-0000-0100-0000B2000000}"/>
    <hyperlink ref="O95" r:id="rId180" xr:uid="{00000000-0004-0000-0100-0000B3000000}"/>
    <hyperlink ref="P95" r:id="rId181" xr:uid="{00000000-0004-0000-0100-0000B4000000}"/>
    <hyperlink ref="C96" r:id="rId182" xr:uid="{00000000-0004-0000-0100-0000B5000000}"/>
    <hyperlink ref="O96" r:id="rId183" xr:uid="{00000000-0004-0000-0100-0000B6000000}"/>
    <hyperlink ref="P96" r:id="rId184" xr:uid="{00000000-0004-0000-0100-0000B7000000}"/>
    <hyperlink ref="C97" r:id="rId185" xr:uid="{00000000-0004-0000-0100-0000B8000000}"/>
    <hyperlink ref="O97" r:id="rId186" xr:uid="{00000000-0004-0000-0100-0000B9000000}"/>
    <hyperlink ref="P97" r:id="rId187" xr:uid="{00000000-0004-0000-0100-0000BA000000}"/>
    <hyperlink ref="C98" r:id="rId188" xr:uid="{00000000-0004-0000-0100-0000BB000000}"/>
    <hyperlink ref="O98" r:id="rId189" xr:uid="{00000000-0004-0000-0100-0000BC000000}"/>
    <hyperlink ref="P98" r:id="rId190" xr:uid="{00000000-0004-0000-0100-0000BD000000}"/>
    <hyperlink ref="C99" r:id="rId191" xr:uid="{00000000-0004-0000-0100-0000BE000000}"/>
    <hyperlink ref="O99" r:id="rId192" xr:uid="{00000000-0004-0000-0100-0000BF000000}"/>
    <hyperlink ref="P99" r:id="rId193" xr:uid="{00000000-0004-0000-0100-0000C0000000}"/>
    <hyperlink ref="C100" r:id="rId194" xr:uid="{00000000-0004-0000-0100-0000C1000000}"/>
    <hyperlink ref="O100" r:id="rId195" xr:uid="{00000000-0004-0000-0100-0000C2000000}"/>
    <hyperlink ref="P100" r:id="rId196" xr:uid="{00000000-0004-0000-0100-0000C3000000}"/>
    <hyperlink ref="C101" r:id="rId197" xr:uid="{00000000-0004-0000-0100-0000C4000000}"/>
    <hyperlink ref="O101" r:id="rId198" xr:uid="{00000000-0004-0000-0100-0000C5000000}"/>
    <hyperlink ref="P101" r:id="rId199" xr:uid="{00000000-0004-0000-0100-0000C6000000}"/>
    <hyperlink ref="C102" r:id="rId200" xr:uid="{00000000-0004-0000-0100-0000C7000000}"/>
    <hyperlink ref="O102" r:id="rId201" xr:uid="{00000000-0004-0000-0100-0000C8000000}"/>
    <hyperlink ref="P102" r:id="rId202" xr:uid="{00000000-0004-0000-0100-0000C9000000}"/>
    <hyperlink ref="C103" r:id="rId203" xr:uid="{00000000-0004-0000-0100-0000CA000000}"/>
    <hyperlink ref="O103" r:id="rId204" xr:uid="{00000000-0004-0000-0100-0000CB000000}"/>
    <hyperlink ref="P103" r:id="rId205" xr:uid="{00000000-0004-0000-0100-0000CC000000}"/>
    <hyperlink ref="C104" r:id="rId206" xr:uid="{00000000-0004-0000-0100-0000CD000000}"/>
    <hyperlink ref="O104" r:id="rId207" xr:uid="{00000000-0004-0000-0100-0000CE000000}"/>
    <hyperlink ref="P104" r:id="rId208" xr:uid="{00000000-0004-0000-0100-0000CF000000}"/>
    <hyperlink ref="C105" r:id="rId209" xr:uid="{00000000-0004-0000-0100-0000D0000000}"/>
    <hyperlink ref="O105" r:id="rId210" xr:uid="{00000000-0004-0000-0100-0000D1000000}"/>
    <hyperlink ref="P105" r:id="rId211" xr:uid="{00000000-0004-0000-0100-0000D2000000}"/>
    <hyperlink ref="C106" r:id="rId212" xr:uid="{00000000-0004-0000-0100-0000D3000000}"/>
    <hyperlink ref="O106" r:id="rId213" xr:uid="{00000000-0004-0000-0100-0000D4000000}"/>
    <hyperlink ref="C107" r:id="rId214" xr:uid="{00000000-0004-0000-0100-0000D5000000}"/>
    <hyperlink ref="O107" r:id="rId215" xr:uid="{00000000-0004-0000-0100-0000D6000000}"/>
    <hyperlink ref="C108" r:id="rId216" xr:uid="{00000000-0004-0000-0100-0000D7000000}"/>
    <hyperlink ref="O108" r:id="rId217" xr:uid="{00000000-0004-0000-0100-0000D8000000}"/>
    <hyperlink ref="P108" r:id="rId218" xr:uid="{00000000-0004-0000-0100-0000D9000000}"/>
    <hyperlink ref="C109" r:id="rId219" xr:uid="{00000000-0004-0000-0100-0000DA000000}"/>
    <hyperlink ref="O109" r:id="rId220" xr:uid="{00000000-0004-0000-0100-0000DB000000}"/>
    <hyperlink ref="P109" r:id="rId221" xr:uid="{00000000-0004-0000-0100-0000DC000000}"/>
    <hyperlink ref="C110" r:id="rId222" xr:uid="{00000000-0004-0000-0100-0000DD000000}"/>
    <hyperlink ref="C117" r:id="rId223" xr:uid="{00000000-0004-0000-0100-0000DE000000}"/>
    <hyperlink ref="O117" r:id="rId224" xr:uid="{00000000-0004-0000-0100-0000DF000000}"/>
    <hyperlink ref="P117" r:id="rId225" xr:uid="{00000000-0004-0000-0100-0000E0000000}"/>
    <hyperlink ref="C119" r:id="rId226" xr:uid="{00000000-0004-0000-0100-0000E1000000}"/>
    <hyperlink ref="O119" r:id="rId227" xr:uid="{00000000-0004-0000-0100-0000E2000000}"/>
    <hyperlink ref="P119" r:id="rId228" xr:uid="{00000000-0004-0000-0100-0000E3000000}"/>
    <hyperlink ref="C120" r:id="rId229" xr:uid="{00000000-0004-0000-0100-0000E4000000}"/>
    <hyperlink ref="O120" r:id="rId230" xr:uid="{00000000-0004-0000-0100-0000E5000000}"/>
    <hyperlink ref="P120" r:id="rId231" xr:uid="{00000000-0004-0000-0100-0000E6000000}"/>
    <hyperlink ref="C121" r:id="rId232" xr:uid="{00000000-0004-0000-0100-0000E7000000}"/>
    <hyperlink ref="O121" r:id="rId233" xr:uid="{00000000-0004-0000-0100-0000E8000000}"/>
    <hyperlink ref="P121" r:id="rId234" xr:uid="{00000000-0004-0000-0100-0000E9000000}"/>
    <hyperlink ref="C122" r:id="rId235" xr:uid="{00000000-0004-0000-0100-0000EA000000}"/>
    <hyperlink ref="O122" r:id="rId236" xr:uid="{00000000-0004-0000-0100-0000EB000000}"/>
    <hyperlink ref="P122" r:id="rId237" xr:uid="{00000000-0004-0000-0100-0000EC000000}"/>
    <hyperlink ref="C124" r:id="rId238" xr:uid="{00000000-0004-0000-0100-0000ED000000}"/>
    <hyperlink ref="O124" r:id="rId239" xr:uid="{00000000-0004-0000-0100-0000EE000000}"/>
    <hyperlink ref="P124" r:id="rId240" xr:uid="{00000000-0004-0000-0100-0000EF000000}"/>
    <hyperlink ref="C125" r:id="rId241" xr:uid="{00000000-0004-0000-0100-0000F0000000}"/>
    <hyperlink ref="O125" r:id="rId242" xr:uid="{00000000-0004-0000-0100-0000F1000000}"/>
    <hyperlink ref="P125" r:id="rId243" xr:uid="{00000000-0004-0000-0100-0000F2000000}"/>
    <hyperlink ref="C126" r:id="rId244" xr:uid="{00000000-0004-0000-0100-0000F3000000}"/>
    <hyperlink ref="O126" r:id="rId245" xr:uid="{00000000-0004-0000-0100-0000F4000000}"/>
    <hyperlink ref="P126" r:id="rId246" xr:uid="{00000000-0004-0000-0100-0000F5000000}"/>
    <hyperlink ref="C127" r:id="rId247" xr:uid="{00000000-0004-0000-0100-0000F6000000}"/>
    <hyperlink ref="O127" r:id="rId248" xr:uid="{00000000-0004-0000-0100-0000F7000000}"/>
    <hyperlink ref="P127" r:id="rId249" xr:uid="{00000000-0004-0000-0100-0000F8000000}"/>
    <hyperlink ref="C128" r:id="rId250" xr:uid="{00000000-0004-0000-0100-0000F9000000}"/>
    <hyperlink ref="O128" r:id="rId251" xr:uid="{00000000-0004-0000-0100-0000FA000000}"/>
    <hyperlink ref="P128" r:id="rId252" xr:uid="{00000000-0004-0000-0100-0000FB000000}"/>
    <hyperlink ref="C129" r:id="rId253" xr:uid="{00000000-0004-0000-0100-0000FC000000}"/>
    <hyperlink ref="O129" r:id="rId254" xr:uid="{00000000-0004-0000-0100-0000FD000000}"/>
    <hyperlink ref="P129" r:id="rId255" xr:uid="{00000000-0004-0000-0100-0000FE000000}"/>
    <hyperlink ref="C130" r:id="rId256" xr:uid="{00000000-0004-0000-0100-0000FF000000}"/>
    <hyperlink ref="O130" r:id="rId257" xr:uid="{00000000-0004-0000-0100-000000010000}"/>
    <hyperlink ref="P130" r:id="rId258" xr:uid="{00000000-0004-0000-0100-000001010000}"/>
    <hyperlink ref="C131" r:id="rId259" xr:uid="{00000000-0004-0000-0100-000002010000}"/>
    <hyperlink ref="O131" r:id="rId260" xr:uid="{00000000-0004-0000-0100-000003010000}"/>
    <hyperlink ref="P131" r:id="rId261" xr:uid="{00000000-0004-0000-0100-000004010000}"/>
    <hyperlink ref="C132" r:id="rId262" xr:uid="{00000000-0004-0000-0100-000005010000}"/>
    <hyperlink ref="O132" r:id="rId263" xr:uid="{00000000-0004-0000-0100-000006010000}"/>
    <hyperlink ref="P132" r:id="rId264" xr:uid="{00000000-0004-0000-0100-000007010000}"/>
    <hyperlink ref="C133" r:id="rId265" xr:uid="{00000000-0004-0000-0100-000008010000}"/>
    <hyperlink ref="O133" r:id="rId266" xr:uid="{00000000-0004-0000-0100-000009010000}"/>
    <hyperlink ref="P133" r:id="rId267" xr:uid="{00000000-0004-0000-0100-00000A010000}"/>
    <hyperlink ref="C134" r:id="rId268" xr:uid="{00000000-0004-0000-0100-00000B010000}"/>
    <hyperlink ref="O134" r:id="rId269" xr:uid="{00000000-0004-0000-0100-00000C010000}"/>
    <hyperlink ref="P134" r:id="rId270" xr:uid="{00000000-0004-0000-0100-00000D010000}"/>
    <hyperlink ref="C135" r:id="rId271" xr:uid="{00000000-0004-0000-0100-00000E010000}"/>
    <hyperlink ref="O135" r:id="rId272" xr:uid="{00000000-0004-0000-0100-00000F010000}"/>
    <hyperlink ref="P135" r:id="rId273" xr:uid="{00000000-0004-0000-0100-000010010000}"/>
    <hyperlink ref="C136" r:id="rId274" xr:uid="{00000000-0004-0000-0100-000011010000}"/>
    <hyperlink ref="O136" r:id="rId275" xr:uid="{00000000-0004-0000-0100-000012010000}"/>
    <hyperlink ref="P136" r:id="rId276" xr:uid="{00000000-0004-0000-0100-000013010000}"/>
    <hyperlink ref="C137" r:id="rId277" xr:uid="{00000000-0004-0000-0100-000014010000}"/>
    <hyperlink ref="O137" r:id="rId278" xr:uid="{00000000-0004-0000-0100-000015010000}"/>
    <hyperlink ref="P137" r:id="rId279" xr:uid="{00000000-0004-0000-0100-000016010000}"/>
    <hyperlink ref="C138" r:id="rId280" xr:uid="{00000000-0004-0000-0100-000017010000}"/>
    <hyperlink ref="O138" r:id="rId281" xr:uid="{00000000-0004-0000-0100-000018010000}"/>
    <hyperlink ref="P138" r:id="rId282" xr:uid="{00000000-0004-0000-0100-000019010000}"/>
    <hyperlink ref="C139" r:id="rId283" xr:uid="{00000000-0004-0000-0100-00001A010000}"/>
    <hyperlink ref="O139" r:id="rId284" xr:uid="{00000000-0004-0000-0100-00001B010000}"/>
    <hyperlink ref="P139" r:id="rId285" xr:uid="{00000000-0004-0000-0100-00001C010000}"/>
    <hyperlink ref="C140" r:id="rId286" xr:uid="{00000000-0004-0000-0100-00001D010000}"/>
    <hyperlink ref="O140" r:id="rId287" xr:uid="{00000000-0004-0000-0100-00001E010000}"/>
    <hyperlink ref="C141" r:id="rId288" xr:uid="{00000000-0004-0000-0100-00001F010000}"/>
    <hyperlink ref="O141" r:id="rId289" xr:uid="{00000000-0004-0000-0100-000020010000}"/>
    <hyperlink ref="C142" r:id="rId290" xr:uid="{00000000-0004-0000-0100-000021010000}"/>
    <hyperlink ref="O142" r:id="rId291" xr:uid="{00000000-0004-0000-0100-000022010000}"/>
    <hyperlink ref="P142" r:id="rId292" xr:uid="{00000000-0004-0000-0100-000023010000}"/>
    <hyperlink ref="C143" r:id="rId293" xr:uid="{00000000-0004-0000-0100-000024010000}"/>
    <hyperlink ref="O143" r:id="rId294" xr:uid="{00000000-0004-0000-0100-000025010000}"/>
    <hyperlink ref="P143" r:id="rId295" xr:uid="{00000000-0004-0000-0100-000026010000}"/>
    <hyperlink ref="C144" r:id="rId296" xr:uid="{00000000-0004-0000-0100-000027010000}"/>
    <hyperlink ref="C151" r:id="rId297" xr:uid="{00000000-0004-0000-0100-000028010000}"/>
    <hyperlink ref="O151" r:id="rId298" xr:uid="{00000000-0004-0000-0100-000029010000}"/>
    <hyperlink ref="P151" r:id="rId299" xr:uid="{00000000-0004-0000-0100-00002A010000}"/>
    <hyperlink ref="C153" r:id="rId300" xr:uid="{00000000-0004-0000-0100-00002B010000}"/>
    <hyperlink ref="O153" r:id="rId301" xr:uid="{00000000-0004-0000-0100-00002C010000}"/>
    <hyperlink ref="P153" r:id="rId302" xr:uid="{00000000-0004-0000-0100-00002D010000}"/>
    <hyperlink ref="C154" r:id="rId303" xr:uid="{00000000-0004-0000-0100-00002E010000}"/>
    <hyperlink ref="O154" r:id="rId304" xr:uid="{00000000-0004-0000-0100-00002F010000}"/>
    <hyperlink ref="P154" r:id="rId305" xr:uid="{00000000-0004-0000-0100-000030010000}"/>
    <hyperlink ref="C155" r:id="rId306" xr:uid="{00000000-0004-0000-0100-000031010000}"/>
    <hyperlink ref="O155" r:id="rId307" xr:uid="{00000000-0004-0000-0100-000032010000}"/>
    <hyperlink ref="P155" r:id="rId308" xr:uid="{00000000-0004-0000-0100-000033010000}"/>
    <hyperlink ref="C156" r:id="rId309" xr:uid="{00000000-0004-0000-0100-000034010000}"/>
    <hyperlink ref="O156" r:id="rId310" xr:uid="{00000000-0004-0000-0100-000035010000}"/>
    <hyperlink ref="P156" r:id="rId311" xr:uid="{00000000-0004-0000-0100-000036010000}"/>
    <hyperlink ref="C158" r:id="rId312" xr:uid="{00000000-0004-0000-0100-000037010000}"/>
    <hyperlink ref="O158" r:id="rId313" xr:uid="{00000000-0004-0000-0100-000038010000}"/>
    <hyperlink ref="P158" r:id="rId314" xr:uid="{00000000-0004-0000-0100-000039010000}"/>
    <hyperlink ref="C159" r:id="rId315" xr:uid="{00000000-0004-0000-0100-00003A010000}"/>
    <hyperlink ref="O159" r:id="rId316" xr:uid="{00000000-0004-0000-0100-00003B010000}"/>
    <hyperlink ref="P159" r:id="rId317" xr:uid="{00000000-0004-0000-0100-00003C010000}"/>
    <hyperlink ref="C160" r:id="rId318" xr:uid="{00000000-0004-0000-0100-00003D010000}"/>
    <hyperlink ref="O160" r:id="rId319" xr:uid="{00000000-0004-0000-0100-00003E010000}"/>
    <hyperlink ref="P160" r:id="rId320" xr:uid="{00000000-0004-0000-0100-00003F010000}"/>
    <hyperlink ref="C161" r:id="rId321" xr:uid="{00000000-0004-0000-0100-000040010000}"/>
    <hyperlink ref="O161" r:id="rId322" xr:uid="{00000000-0004-0000-0100-000041010000}"/>
    <hyperlink ref="P161" r:id="rId323" xr:uid="{00000000-0004-0000-0100-000042010000}"/>
    <hyperlink ref="C162" r:id="rId324" xr:uid="{00000000-0004-0000-0100-000043010000}"/>
    <hyperlink ref="O162" r:id="rId325" xr:uid="{00000000-0004-0000-0100-000044010000}"/>
    <hyperlink ref="P162" r:id="rId326" xr:uid="{00000000-0004-0000-0100-000045010000}"/>
    <hyperlink ref="C163" r:id="rId327" xr:uid="{00000000-0004-0000-0100-000046010000}"/>
    <hyperlink ref="O163" r:id="rId328" xr:uid="{00000000-0004-0000-0100-000047010000}"/>
    <hyperlink ref="P163" r:id="rId329" xr:uid="{00000000-0004-0000-0100-000048010000}"/>
    <hyperlink ref="C164" r:id="rId330" xr:uid="{00000000-0004-0000-0100-000049010000}"/>
    <hyperlink ref="O164" r:id="rId331" xr:uid="{00000000-0004-0000-0100-00004A010000}"/>
    <hyperlink ref="P164" r:id="rId332" xr:uid="{00000000-0004-0000-0100-00004B010000}"/>
    <hyperlink ref="C165" r:id="rId333" xr:uid="{00000000-0004-0000-0100-00004C010000}"/>
    <hyperlink ref="O165" r:id="rId334" xr:uid="{00000000-0004-0000-0100-00004D010000}"/>
    <hyperlink ref="P165" r:id="rId335" xr:uid="{00000000-0004-0000-0100-00004E010000}"/>
    <hyperlink ref="C166" r:id="rId336" xr:uid="{00000000-0004-0000-0100-00004F010000}"/>
    <hyperlink ref="O166" r:id="rId337" xr:uid="{00000000-0004-0000-0100-000050010000}"/>
    <hyperlink ref="P166" r:id="rId338" xr:uid="{00000000-0004-0000-0100-000051010000}"/>
    <hyperlink ref="C167" r:id="rId339" xr:uid="{00000000-0004-0000-0100-000052010000}"/>
    <hyperlink ref="O167" r:id="rId340" xr:uid="{00000000-0004-0000-0100-000053010000}"/>
    <hyperlink ref="P167" r:id="rId341" xr:uid="{00000000-0004-0000-0100-000054010000}"/>
    <hyperlink ref="C168" r:id="rId342" xr:uid="{00000000-0004-0000-0100-000055010000}"/>
    <hyperlink ref="O168" r:id="rId343" xr:uid="{00000000-0004-0000-0100-000056010000}"/>
    <hyperlink ref="P168" r:id="rId344" xr:uid="{00000000-0004-0000-0100-000057010000}"/>
    <hyperlink ref="C169" r:id="rId345" xr:uid="{00000000-0004-0000-0100-000058010000}"/>
    <hyperlink ref="O169" r:id="rId346" xr:uid="{00000000-0004-0000-0100-000059010000}"/>
    <hyperlink ref="P169" r:id="rId347" xr:uid="{00000000-0004-0000-0100-00005A010000}"/>
    <hyperlink ref="C170" r:id="rId348" xr:uid="{00000000-0004-0000-0100-00005B010000}"/>
    <hyperlink ref="O170" r:id="rId349" xr:uid="{00000000-0004-0000-0100-00005C010000}"/>
    <hyperlink ref="P170" r:id="rId350" xr:uid="{00000000-0004-0000-0100-00005D010000}"/>
    <hyperlink ref="C171" r:id="rId351" xr:uid="{00000000-0004-0000-0100-00005E010000}"/>
    <hyperlink ref="O171" r:id="rId352" xr:uid="{00000000-0004-0000-0100-00005F010000}"/>
    <hyperlink ref="P171" r:id="rId353" xr:uid="{00000000-0004-0000-0100-000060010000}"/>
    <hyperlink ref="C172" r:id="rId354" xr:uid="{00000000-0004-0000-0100-000061010000}"/>
    <hyperlink ref="O172" r:id="rId355" xr:uid="{00000000-0004-0000-0100-000062010000}"/>
    <hyperlink ref="P172" r:id="rId356" xr:uid="{00000000-0004-0000-0100-000063010000}"/>
    <hyperlink ref="C173" r:id="rId357" xr:uid="{00000000-0004-0000-0100-000064010000}"/>
    <hyperlink ref="O173" r:id="rId358" xr:uid="{00000000-0004-0000-0100-000065010000}"/>
    <hyperlink ref="P173" r:id="rId359" xr:uid="{00000000-0004-0000-0100-000066010000}"/>
    <hyperlink ref="C174" r:id="rId360" xr:uid="{00000000-0004-0000-0100-000067010000}"/>
    <hyperlink ref="O174" r:id="rId361" xr:uid="{00000000-0004-0000-0100-000068010000}"/>
    <hyperlink ref="C175" r:id="rId362" xr:uid="{00000000-0004-0000-0100-000069010000}"/>
    <hyperlink ref="O175" r:id="rId363" xr:uid="{00000000-0004-0000-0100-00006A010000}"/>
    <hyperlink ref="C176" r:id="rId364" xr:uid="{00000000-0004-0000-0100-00006B010000}"/>
    <hyperlink ref="O176" r:id="rId365" xr:uid="{00000000-0004-0000-0100-00006C010000}"/>
    <hyperlink ref="P176" r:id="rId366" xr:uid="{00000000-0004-0000-0100-00006D010000}"/>
    <hyperlink ref="C177" r:id="rId367" xr:uid="{00000000-0004-0000-0100-00006E010000}"/>
    <hyperlink ref="O177" r:id="rId368" xr:uid="{00000000-0004-0000-0100-00006F010000}"/>
    <hyperlink ref="P177" r:id="rId369" xr:uid="{00000000-0004-0000-0100-000070010000}"/>
    <hyperlink ref="C178" r:id="rId370" xr:uid="{00000000-0004-0000-0100-000071010000}"/>
    <hyperlink ref="C185" r:id="rId371" xr:uid="{00000000-0004-0000-0100-000072010000}"/>
    <hyperlink ref="O185" r:id="rId372" xr:uid="{00000000-0004-0000-0100-000073010000}"/>
    <hyperlink ref="P185" r:id="rId373" xr:uid="{00000000-0004-0000-0100-000074010000}"/>
    <hyperlink ref="C187" r:id="rId374" xr:uid="{00000000-0004-0000-0100-000075010000}"/>
    <hyperlink ref="O187" r:id="rId375" xr:uid="{00000000-0004-0000-0100-000076010000}"/>
    <hyperlink ref="P187" r:id="rId376" xr:uid="{00000000-0004-0000-0100-000077010000}"/>
    <hyperlink ref="C188" r:id="rId377" xr:uid="{00000000-0004-0000-0100-000078010000}"/>
    <hyperlink ref="O188" r:id="rId378" xr:uid="{00000000-0004-0000-0100-000079010000}"/>
    <hyperlink ref="P188" r:id="rId379" xr:uid="{00000000-0004-0000-0100-00007A010000}"/>
    <hyperlink ref="C189" r:id="rId380" xr:uid="{00000000-0004-0000-0100-00007B010000}"/>
    <hyperlink ref="O189" r:id="rId381" xr:uid="{00000000-0004-0000-0100-00007C010000}"/>
    <hyperlink ref="P189" r:id="rId382" xr:uid="{00000000-0004-0000-0100-00007D010000}"/>
    <hyperlink ref="C190" r:id="rId383" xr:uid="{00000000-0004-0000-0100-00007E010000}"/>
    <hyperlink ref="O190" r:id="rId384" xr:uid="{00000000-0004-0000-0100-00007F010000}"/>
    <hyperlink ref="P190" r:id="rId385" xr:uid="{00000000-0004-0000-0100-000080010000}"/>
    <hyperlink ref="C192" r:id="rId386" xr:uid="{00000000-0004-0000-0100-000081010000}"/>
    <hyperlink ref="O192" r:id="rId387" xr:uid="{00000000-0004-0000-0100-000082010000}"/>
    <hyperlink ref="P192" r:id="rId388" xr:uid="{00000000-0004-0000-0100-000083010000}"/>
    <hyperlink ref="C193" r:id="rId389" xr:uid="{00000000-0004-0000-0100-000084010000}"/>
    <hyperlink ref="O193" r:id="rId390" xr:uid="{00000000-0004-0000-0100-000085010000}"/>
    <hyperlink ref="P193" r:id="rId391" xr:uid="{00000000-0004-0000-0100-000086010000}"/>
    <hyperlink ref="C194" r:id="rId392" xr:uid="{00000000-0004-0000-0100-000087010000}"/>
    <hyperlink ref="O194" r:id="rId393" xr:uid="{00000000-0004-0000-0100-000088010000}"/>
    <hyperlink ref="P194" r:id="rId394" xr:uid="{00000000-0004-0000-0100-000089010000}"/>
    <hyperlink ref="C195" r:id="rId395" xr:uid="{00000000-0004-0000-0100-00008A010000}"/>
    <hyperlink ref="O195" r:id="rId396" xr:uid="{00000000-0004-0000-0100-00008B010000}"/>
    <hyperlink ref="P195" r:id="rId397" xr:uid="{00000000-0004-0000-0100-00008C010000}"/>
    <hyperlink ref="C196" r:id="rId398" xr:uid="{00000000-0004-0000-0100-00008D010000}"/>
    <hyperlink ref="O196" r:id="rId399" xr:uid="{00000000-0004-0000-0100-00008E010000}"/>
    <hyperlink ref="P196" r:id="rId400" xr:uid="{00000000-0004-0000-0100-00008F010000}"/>
    <hyperlink ref="C197" r:id="rId401" xr:uid="{00000000-0004-0000-0100-000090010000}"/>
    <hyperlink ref="O197" r:id="rId402" xr:uid="{00000000-0004-0000-0100-000091010000}"/>
    <hyperlink ref="P197" r:id="rId403" xr:uid="{00000000-0004-0000-0100-000092010000}"/>
    <hyperlink ref="C198" r:id="rId404" xr:uid="{00000000-0004-0000-0100-000093010000}"/>
    <hyperlink ref="O198" r:id="rId405" xr:uid="{00000000-0004-0000-0100-000094010000}"/>
    <hyperlink ref="P198" r:id="rId406" xr:uid="{00000000-0004-0000-0100-000095010000}"/>
    <hyperlink ref="C199" r:id="rId407" xr:uid="{00000000-0004-0000-0100-000096010000}"/>
    <hyperlink ref="O199" r:id="rId408" xr:uid="{00000000-0004-0000-0100-000097010000}"/>
    <hyperlink ref="P199" r:id="rId409" xr:uid="{00000000-0004-0000-0100-000098010000}"/>
    <hyperlink ref="C200" r:id="rId410" xr:uid="{00000000-0004-0000-0100-000099010000}"/>
    <hyperlink ref="O200" r:id="rId411" xr:uid="{00000000-0004-0000-0100-00009A010000}"/>
    <hyperlink ref="P200" r:id="rId412" xr:uid="{00000000-0004-0000-0100-00009B010000}"/>
    <hyperlink ref="C201" r:id="rId413" xr:uid="{00000000-0004-0000-0100-00009C010000}"/>
    <hyperlink ref="O201" r:id="rId414" xr:uid="{00000000-0004-0000-0100-00009D010000}"/>
    <hyperlink ref="P201" r:id="rId415" xr:uid="{00000000-0004-0000-0100-00009E010000}"/>
    <hyperlink ref="C202" r:id="rId416" xr:uid="{00000000-0004-0000-0100-00009F010000}"/>
    <hyperlink ref="O202" r:id="rId417" xr:uid="{00000000-0004-0000-0100-0000A0010000}"/>
    <hyperlink ref="P202" r:id="rId418" xr:uid="{00000000-0004-0000-0100-0000A1010000}"/>
    <hyperlink ref="C203" r:id="rId419" xr:uid="{00000000-0004-0000-0100-0000A2010000}"/>
    <hyperlink ref="O203" r:id="rId420" xr:uid="{00000000-0004-0000-0100-0000A3010000}"/>
    <hyperlink ref="P203" r:id="rId421" xr:uid="{00000000-0004-0000-0100-0000A4010000}"/>
    <hyperlink ref="C204" r:id="rId422" xr:uid="{00000000-0004-0000-0100-0000A5010000}"/>
    <hyperlink ref="O204" r:id="rId423" xr:uid="{00000000-0004-0000-0100-0000A6010000}"/>
    <hyperlink ref="P204" r:id="rId424" xr:uid="{00000000-0004-0000-0100-0000A7010000}"/>
    <hyperlink ref="C205" r:id="rId425" xr:uid="{00000000-0004-0000-0100-0000A8010000}"/>
    <hyperlink ref="O205" r:id="rId426" xr:uid="{00000000-0004-0000-0100-0000A9010000}"/>
    <hyperlink ref="P205" r:id="rId427" xr:uid="{00000000-0004-0000-0100-0000AA010000}"/>
    <hyperlink ref="C206" r:id="rId428" xr:uid="{00000000-0004-0000-0100-0000AB010000}"/>
    <hyperlink ref="O206" r:id="rId429" xr:uid="{00000000-0004-0000-0100-0000AC010000}"/>
    <hyperlink ref="P206" r:id="rId430" xr:uid="{00000000-0004-0000-0100-0000AD010000}"/>
    <hyperlink ref="C207" r:id="rId431" xr:uid="{00000000-0004-0000-0100-0000AE010000}"/>
    <hyperlink ref="O207" r:id="rId432" xr:uid="{00000000-0004-0000-0100-0000AF010000}"/>
    <hyperlink ref="P207" r:id="rId433" xr:uid="{00000000-0004-0000-0100-0000B0010000}"/>
    <hyperlink ref="C208" r:id="rId434" xr:uid="{00000000-0004-0000-0100-0000B1010000}"/>
    <hyperlink ref="O208" r:id="rId435" xr:uid="{00000000-0004-0000-0100-0000B2010000}"/>
    <hyperlink ref="C209" r:id="rId436" xr:uid="{00000000-0004-0000-0100-0000B3010000}"/>
    <hyperlink ref="O209" r:id="rId437" xr:uid="{00000000-0004-0000-0100-0000B4010000}"/>
    <hyperlink ref="C210" r:id="rId438" xr:uid="{00000000-0004-0000-0100-0000B5010000}"/>
    <hyperlink ref="O210" r:id="rId439" xr:uid="{00000000-0004-0000-0100-0000B6010000}"/>
    <hyperlink ref="P210" r:id="rId440" xr:uid="{00000000-0004-0000-0100-0000B7010000}"/>
    <hyperlink ref="C211" r:id="rId441" xr:uid="{00000000-0004-0000-0100-0000B8010000}"/>
    <hyperlink ref="O211" r:id="rId442" xr:uid="{00000000-0004-0000-0100-0000B9010000}"/>
    <hyperlink ref="P211" r:id="rId443" xr:uid="{00000000-0004-0000-0100-0000BA010000}"/>
    <hyperlink ref="C212" r:id="rId444" xr:uid="{00000000-0004-0000-0100-0000BB010000}"/>
    <hyperlink ref="C221" r:id="rId445" xr:uid="{00000000-0004-0000-0100-0000BC010000}"/>
    <hyperlink ref="O221" r:id="rId446" xr:uid="{00000000-0004-0000-0100-0000BD010000}"/>
    <hyperlink ref="P221" r:id="rId447" xr:uid="{00000000-0004-0000-0100-0000BE010000}"/>
    <hyperlink ref="C223" r:id="rId448" xr:uid="{00000000-0004-0000-0100-0000BF010000}"/>
    <hyperlink ref="O223" r:id="rId449" xr:uid="{00000000-0004-0000-0100-0000C0010000}"/>
    <hyperlink ref="P223" r:id="rId450" xr:uid="{00000000-0004-0000-0100-0000C1010000}"/>
    <hyperlink ref="C224" r:id="rId451" xr:uid="{00000000-0004-0000-0100-0000C2010000}"/>
    <hyperlink ref="O224" r:id="rId452" xr:uid="{00000000-0004-0000-0100-0000C3010000}"/>
    <hyperlink ref="P224" r:id="rId453" xr:uid="{00000000-0004-0000-0100-0000C4010000}"/>
    <hyperlink ref="C225" r:id="rId454" xr:uid="{00000000-0004-0000-0100-0000C5010000}"/>
    <hyperlink ref="O225" r:id="rId455" xr:uid="{00000000-0004-0000-0100-0000C6010000}"/>
    <hyperlink ref="P225" r:id="rId456" xr:uid="{00000000-0004-0000-0100-0000C7010000}"/>
    <hyperlink ref="C226" r:id="rId457" xr:uid="{00000000-0004-0000-0100-0000C8010000}"/>
    <hyperlink ref="O226" r:id="rId458" xr:uid="{00000000-0004-0000-0100-0000C9010000}"/>
    <hyperlink ref="P226" r:id="rId459" xr:uid="{00000000-0004-0000-0100-0000CA010000}"/>
    <hyperlink ref="C228" r:id="rId460" xr:uid="{00000000-0004-0000-0100-0000CB010000}"/>
    <hyperlink ref="O228" r:id="rId461" xr:uid="{00000000-0004-0000-0100-0000CC010000}"/>
    <hyperlink ref="P228" r:id="rId462" xr:uid="{00000000-0004-0000-0100-0000CD010000}"/>
    <hyperlink ref="C229" r:id="rId463" xr:uid="{00000000-0004-0000-0100-0000CE010000}"/>
    <hyperlink ref="O229" r:id="rId464" xr:uid="{00000000-0004-0000-0100-0000CF010000}"/>
    <hyperlink ref="P229" r:id="rId465" xr:uid="{00000000-0004-0000-0100-0000D0010000}"/>
    <hyperlink ref="C230" r:id="rId466" xr:uid="{00000000-0004-0000-0100-0000D1010000}"/>
    <hyperlink ref="O230" r:id="rId467" xr:uid="{00000000-0004-0000-0100-0000D2010000}"/>
    <hyperlink ref="P230" r:id="rId468" xr:uid="{00000000-0004-0000-0100-0000D3010000}"/>
    <hyperlink ref="C231" r:id="rId469" xr:uid="{00000000-0004-0000-0100-0000D4010000}"/>
    <hyperlink ref="O231" r:id="rId470" xr:uid="{00000000-0004-0000-0100-0000D5010000}"/>
    <hyperlink ref="P231" r:id="rId471" xr:uid="{00000000-0004-0000-0100-0000D6010000}"/>
    <hyperlink ref="C232" r:id="rId472" xr:uid="{00000000-0004-0000-0100-0000D7010000}"/>
    <hyperlink ref="O232" r:id="rId473" xr:uid="{00000000-0004-0000-0100-0000D8010000}"/>
    <hyperlink ref="P232" r:id="rId474" xr:uid="{00000000-0004-0000-0100-0000D9010000}"/>
    <hyperlink ref="C233" r:id="rId475" xr:uid="{00000000-0004-0000-0100-0000DA010000}"/>
    <hyperlink ref="O233" r:id="rId476" xr:uid="{00000000-0004-0000-0100-0000DB010000}"/>
    <hyperlink ref="P233" r:id="rId477" xr:uid="{00000000-0004-0000-0100-0000DC010000}"/>
    <hyperlink ref="C234" r:id="rId478" xr:uid="{00000000-0004-0000-0100-0000DD010000}"/>
    <hyperlink ref="O234" r:id="rId479" xr:uid="{00000000-0004-0000-0100-0000DE010000}"/>
    <hyperlink ref="P234" r:id="rId480" xr:uid="{00000000-0004-0000-0100-0000DF010000}"/>
    <hyperlink ref="C235" r:id="rId481" xr:uid="{00000000-0004-0000-0100-0000E0010000}"/>
    <hyperlink ref="O235" r:id="rId482" xr:uid="{00000000-0004-0000-0100-0000E1010000}"/>
    <hyperlink ref="P235" r:id="rId483" xr:uid="{00000000-0004-0000-0100-0000E2010000}"/>
    <hyperlink ref="C236" r:id="rId484" xr:uid="{00000000-0004-0000-0100-0000E3010000}"/>
    <hyperlink ref="O236" r:id="rId485" xr:uid="{00000000-0004-0000-0100-0000E4010000}"/>
    <hyperlink ref="P236" r:id="rId486" xr:uid="{00000000-0004-0000-0100-0000E5010000}"/>
    <hyperlink ref="C237" r:id="rId487" xr:uid="{00000000-0004-0000-0100-0000E6010000}"/>
    <hyperlink ref="O237" r:id="rId488" xr:uid="{00000000-0004-0000-0100-0000E7010000}"/>
    <hyperlink ref="P237" r:id="rId489" xr:uid="{00000000-0004-0000-0100-0000E8010000}"/>
    <hyperlink ref="C238" r:id="rId490" xr:uid="{00000000-0004-0000-0100-0000E9010000}"/>
    <hyperlink ref="O238" r:id="rId491" xr:uid="{00000000-0004-0000-0100-0000EA010000}"/>
    <hyperlink ref="P238" r:id="rId492" xr:uid="{00000000-0004-0000-0100-0000EB010000}"/>
    <hyperlink ref="C239" r:id="rId493" xr:uid="{00000000-0004-0000-0100-0000EC010000}"/>
    <hyperlink ref="O239" r:id="rId494" xr:uid="{00000000-0004-0000-0100-0000ED010000}"/>
    <hyperlink ref="P239" r:id="rId495" xr:uid="{00000000-0004-0000-0100-0000EE010000}"/>
    <hyperlink ref="C240" r:id="rId496" xr:uid="{00000000-0004-0000-0100-0000EF010000}"/>
    <hyperlink ref="O240" r:id="rId497" xr:uid="{00000000-0004-0000-0100-0000F0010000}"/>
    <hyperlink ref="P240" r:id="rId498" xr:uid="{00000000-0004-0000-0100-0000F1010000}"/>
    <hyperlink ref="C241" r:id="rId499" xr:uid="{00000000-0004-0000-0100-0000F2010000}"/>
    <hyperlink ref="O241" r:id="rId500" xr:uid="{00000000-0004-0000-0100-0000F3010000}"/>
    <hyperlink ref="P241" r:id="rId501" xr:uid="{00000000-0004-0000-0100-0000F4010000}"/>
    <hyperlink ref="C242" r:id="rId502" xr:uid="{00000000-0004-0000-0100-0000F5010000}"/>
    <hyperlink ref="O242" r:id="rId503" xr:uid="{00000000-0004-0000-0100-0000F6010000}"/>
    <hyperlink ref="P242" r:id="rId504" xr:uid="{00000000-0004-0000-0100-0000F7010000}"/>
    <hyperlink ref="C243" r:id="rId505" xr:uid="{00000000-0004-0000-0100-0000F8010000}"/>
    <hyperlink ref="O243" r:id="rId506" xr:uid="{00000000-0004-0000-0100-0000F9010000}"/>
    <hyperlink ref="P243" r:id="rId507" xr:uid="{00000000-0004-0000-0100-0000FA010000}"/>
    <hyperlink ref="C244" r:id="rId508" xr:uid="{00000000-0004-0000-0100-0000FB010000}"/>
    <hyperlink ref="O244" r:id="rId509" xr:uid="{00000000-0004-0000-0100-0000FC010000}"/>
    <hyperlink ref="C245" r:id="rId510" xr:uid="{00000000-0004-0000-0100-0000FD010000}"/>
    <hyperlink ref="O245" r:id="rId511" xr:uid="{00000000-0004-0000-0100-0000FE010000}"/>
    <hyperlink ref="C246" r:id="rId512" xr:uid="{00000000-0004-0000-0100-0000FF010000}"/>
    <hyperlink ref="O246" r:id="rId513" xr:uid="{00000000-0004-0000-0100-000000020000}"/>
    <hyperlink ref="P246" r:id="rId514" xr:uid="{00000000-0004-0000-0100-000001020000}"/>
    <hyperlink ref="C247" r:id="rId515" xr:uid="{00000000-0004-0000-0100-000002020000}"/>
    <hyperlink ref="O247" r:id="rId516" xr:uid="{00000000-0004-0000-0100-000003020000}"/>
    <hyperlink ref="P247" r:id="rId517" xr:uid="{00000000-0004-0000-0100-000004020000}"/>
    <hyperlink ref="C248" r:id="rId518" xr:uid="{00000000-0004-0000-0100-000005020000}"/>
    <hyperlink ref="C255" r:id="rId519" xr:uid="{00000000-0004-0000-0100-000006020000}"/>
    <hyperlink ref="O255" r:id="rId520" xr:uid="{00000000-0004-0000-0100-000007020000}"/>
    <hyperlink ref="P255" r:id="rId521" xr:uid="{00000000-0004-0000-0100-000008020000}"/>
    <hyperlink ref="C257" r:id="rId522" xr:uid="{00000000-0004-0000-0100-000009020000}"/>
    <hyperlink ref="O257" r:id="rId523" xr:uid="{00000000-0004-0000-0100-00000A020000}"/>
    <hyperlink ref="P257" r:id="rId524" xr:uid="{00000000-0004-0000-0100-00000B020000}"/>
    <hyperlink ref="C258" r:id="rId525" xr:uid="{00000000-0004-0000-0100-00000C020000}"/>
    <hyperlink ref="O258" r:id="rId526" xr:uid="{00000000-0004-0000-0100-00000D020000}"/>
    <hyperlink ref="P258" r:id="rId527" xr:uid="{00000000-0004-0000-0100-00000E020000}"/>
    <hyperlink ref="C259" r:id="rId528" xr:uid="{00000000-0004-0000-0100-00000F020000}"/>
    <hyperlink ref="O259" r:id="rId529" xr:uid="{00000000-0004-0000-0100-000010020000}"/>
    <hyperlink ref="P259" r:id="rId530" xr:uid="{00000000-0004-0000-0100-000011020000}"/>
    <hyperlink ref="C260" r:id="rId531" xr:uid="{00000000-0004-0000-0100-000012020000}"/>
    <hyperlink ref="O260" r:id="rId532" xr:uid="{00000000-0004-0000-0100-000013020000}"/>
    <hyperlink ref="P260" r:id="rId533" xr:uid="{00000000-0004-0000-0100-000014020000}"/>
    <hyperlink ref="C262" r:id="rId534" xr:uid="{00000000-0004-0000-0100-000015020000}"/>
    <hyperlink ref="O262" r:id="rId535" xr:uid="{00000000-0004-0000-0100-000016020000}"/>
    <hyperlink ref="P262" r:id="rId536" xr:uid="{00000000-0004-0000-0100-000017020000}"/>
    <hyperlink ref="C263" r:id="rId537" xr:uid="{00000000-0004-0000-0100-000018020000}"/>
    <hyperlink ref="O263" r:id="rId538" xr:uid="{00000000-0004-0000-0100-000019020000}"/>
    <hyperlink ref="P263" r:id="rId539" xr:uid="{00000000-0004-0000-0100-00001A020000}"/>
    <hyperlink ref="C264" r:id="rId540" xr:uid="{00000000-0004-0000-0100-00001B020000}"/>
    <hyperlink ref="O264" r:id="rId541" xr:uid="{00000000-0004-0000-0100-00001C020000}"/>
    <hyperlink ref="P264" r:id="rId542" xr:uid="{00000000-0004-0000-0100-00001D020000}"/>
    <hyperlink ref="C265" r:id="rId543" xr:uid="{00000000-0004-0000-0100-00001E020000}"/>
    <hyperlink ref="O265" r:id="rId544" xr:uid="{00000000-0004-0000-0100-00001F020000}"/>
    <hyperlink ref="P265" r:id="rId545" xr:uid="{00000000-0004-0000-0100-000020020000}"/>
    <hyperlink ref="C266" r:id="rId546" xr:uid="{00000000-0004-0000-0100-000021020000}"/>
    <hyperlink ref="O266" r:id="rId547" xr:uid="{00000000-0004-0000-0100-000022020000}"/>
    <hyperlink ref="P266" r:id="rId548" xr:uid="{00000000-0004-0000-0100-000023020000}"/>
    <hyperlink ref="C267" r:id="rId549" xr:uid="{00000000-0004-0000-0100-000024020000}"/>
    <hyperlink ref="O267" r:id="rId550" xr:uid="{00000000-0004-0000-0100-000025020000}"/>
    <hyperlink ref="P267" r:id="rId551" xr:uid="{00000000-0004-0000-0100-000026020000}"/>
    <hyperlink ref="C268" r:id="rId552" xr:uid="{00000000-0004-0000-0100-000027020000}"/>
    <hyperlink ref="O268" r:id="rId553" xr:uid="{00000000-0004-0000-0100-000028020000}"/>
    <hyperlink ref="P268" r:id="rId554" xr:uid="{00000000-0004-0000-0100-000029020000}"/>
    <hyperlink ref="C269" r:id="rId555" xr:uid="{00000000-0004-0000-0100-00002A020000}"/>
    <hyperlink ref="O269" r:id="rId556" xr:uid="{00000000-0004-0000-0100-00002B020000}"/>
    <hyperlink ref="P269" r:id="rId557" xr:uid="{00000000-0004-0000-0100-00002C020000}"/>
    <hyperlink ref="C270" r:id="rId558" xr:uid="{00000000-0004-0000-0100-00002D020000}"/>
    <hyperlink ref="O270" r:id="rId559" xr:uid="{00000000-0004-0000-0100-00002E020000}"/>
    <hyperlink ref="P270" r:id="rId560" xr:uid="{00000000-0004-0000-0100-00002F020000}"/>
    <hyperlink ref="C271" r:id="rId561" xr:uid="{00000000-0004-0000-0100-000030020000}"/>
    <hyperlink ref="O271" r:id="rId562" xr:uid="{00000000-0004-0000-0100-000031020000}"/>
    <hyperlink ref="P271" r:id="rId563" xr:uid="{00000000-0004-0000-0100-000032020000}"/>
    <hyperlink ref="C272" r:id="rId564" xr:uid="{00000000-0004-0000-0100-000033020000}"/>
    <hyperlink ref="O272" r:id="rId565" xr:uid="{00000000-0004-0000-0100-000034020000}"/>
    <hyperlink ref="P272" r:id="rId566" xr:uid="{00000000-0004-0000-0100-000035020000}"/>
    <hyperlink ref="C273" r:id="rId567" xr:uid="{00000000-0004-0000-0100-000036020000}"/>
    <hyperlink ref="O273" r:id="rId568" xr:uid="{00000000-0004-0000-0100-000037020000}"/>
    <hyperlink ref="P273" r:id="rId569" xr:uid="{00000000-0004-0000-0100-000038020000}"/>
    <hyperlink ref="C274" r:id="rId570" xr:uid="{00000000-0004-0000-0100-000039020000}"/>
    <hyperlink ref="O274" r:id="rId571" xr:uid="{00000000-0004-0000-0100-00003A020000}"/>
    <hyperlink ref="P274" r:id="rId572" xr:uid="{00000000-0004-0000-0100-00003B020000}"/>
    <hyperlink ref="C275" r:id="rId573" xr:uid="{00000000-0004-0000-0100-00003C020000}"/>
    <hyperlink ref="O275" r:id="rId574" xr:uid="{00000000-0004-0000-0100-00003D020000}"/>
    <hyperlink ref="P275" r:id="rId575" xr:uid="{00000000-0004-0000-0100-00003E020000}"/>
    <hyperlink ref="C276" r:id="rId576" xr:uid="{00000000-0004-0000-0100-00003F020000}"/>
    <hyperlink ref="O276" r:id="rId577" xr:uid="{00000000-0004-0000-0100-000040020000}"/>
    <hyperlink ref="P276" r:id="rId578" xr:uid="{00000000-0004-0000-0100-000041020000}"/>
    <hyperlink ref="C277" r:id="rId579" xr:uid="{00000000-0004-0000-0100-000042020000}"/>
    <hyperlink ref="O277" r:id="rId580" xr:uid="{00000000-0004-0000-0100-000043020000}"/>
    <hyperlink ref="P277" r:id="rId581" xr:uid="{00000000-0004-0000-0100-000044020000}"/>
    <hyperlink ref="C278" r:id="rId582" xr:uid="{00000000-0004-0000-0100-000045020000}"/>
    <hyperlink ref="O278" r:id="rId583" xr:uid="{00000000-0004-0000-0100-000046020000}"/>
    <hyperlink ref="C279" r:id="rId584" xr:uid="{00000000-0004-0000-0100-000047020000}"/>
    <hyperlink ref="O279" r:id="rId585" xr:uid="{00000000-0004-0000-0100-000048020000}"/>
    <hyperlink ref="C280" r:id="rId586" xr:uid="{00000000-0004-0000-0100-000049020000}"/>
    <hyperlink ref="O280" r:id="rId587" xr:uid="{00000000-0004-0000-0100-00004A020000}"/>
    <hyperlink ref="P280" r:id="rId588" xr:uid="{00000000-0004-0000-0100-00004B020000}"/>
    <hyperlink ref="C281" r:id="rId589" xr:uid="{00000000-0004-0000-0100-00004C020000}"/>
    <hyperlink ref="O281" r:id="rId590" xr:uid="{00000000-0004-0000-0100-00004D020000}"/>
    <hyperlink ref="P281" r:id="rId591" xr:uid="{00000000-0004-0000-0100-00004E020000}"/>
    <hyperlink ref="C282" r:id="rId592" xr:uid="{00000000-0004-0000-0100-00004F020000}"/>
    <hyperlink ref="C289" r:id="rId593" xr:uid="{00000000-0004-0000-0100-000050020000}"/>
    <hyperlink ref="O289" r:id="rId594" xr:uid="{00000000-0004-0000-0100-000051020000}"/>
    <hyperlink ref="P289" r:id="rId595" xr:uid="{00000000-0004-0000-0100-000052020000}"/>
    <hyperlink ref="C291" r:id="rId596" xr:uid="{00000000-0004-0000-0100-000053020000}"/>
    <hyperlink ref="O291" r:id="rId597" xr:uid="{00000000-0004-0000-0100-000054020000}"/>
    <hyperlink ref="P291" r:id="rId598" xr:uid="{00000000-0004-0000-0100-000055020000}"/>
    <hyperlink ref="C292" r:id="rId599" xr:uid="{00000000-0004-0000-0100-000056020000}"/>
    <hyperlink ref="O292" r:id="rId600" xr:uid="{00000000-0004-0000-0100-000057020000}"/>
    <hyperlink ref="P292" r:id="rId601" xr:uid="{00000000-0004-0000-0100-000058020000}"/>
    <hyperlink ref="C293" r:id="rId602" xr:uid="{00000000-0004-0000-0100-000059020000}"/>
    <hyperlink ref="O293" r:id="rId603" xr:uid="{00000000-0004-0000-0100-00005A020000}"/>
    <hyperlink ref="P293" r:id="rId604" xr:uid="{00000000-0004-0000-0100-00005B020000}"/>
    <hyperlink ref="C294" r:id="rId605" xr:uid="{00000000-0004-0000-0100-00005C020000}"/>
    <hyperlink ref="O294" r:id="rId606" xr:uid="{00000000-0004-0000-0100-00005D020000}"/>
    <hyperlink ref="P294" r:id="rId607" xr:uid="{00000000-0004-0000-0100-00005E020000}"/>
    <hyperlink ref="C296" r:id="rId608" xr:uid="{00000000-0004-0000-0100-00005F020000}"/>
    <hyperlink ref="O296" r:id="rId609" xr:uid="{00000000-0004-0000-0100-000060020000}"/>
    <hyperlink ref="P296" r:id="rId610" xr:uid="{00000000-0004-0000-0100-000061020000}"/>
    <hyperlink ref="C297" r:id="rId611" xr:uid="{00000000-0004-0000-0100-000062020000}"/>
    <hyperlink ref="O297" r:id="rId612" xr:uid="{00000000-0004-0000-0100-000063020000}"/>
    <hyperlink ref="P297" r:id="rId613" xr:uid="{00000000-0004-0000-0100-000064020000}"/>
    <hyperlink ref="C298" r:id="rId614" xr:uid="{00000000-0004-0000-0100-000065020000}"/>
    <hyperlink ref="O298" r:id="rId615" xr:uid="{00000000-0004-0000-0100-000066020000}"/>
    <hyperlink ref="P298" r:id="rId616" xr:uid="{00000000-0004-0000-0100-000067020000}"/>
    <hyperlink ref="C299" r:id="rId617" xr:uid="{00000000-0004-0000-0100-000068020000}"/>
    <hyperlink ref="O299" r:id="rId618" xr:uid="{00000000-0004-0000-0100-000069020000}"/>
    <hyperlink ref="P299" r:id="rId619" xr:uid="{00000000-0004-0000-0100-00006A020000}"/>
    <hyperlink ref="C300" r:id="rId620" xr:uid="{00000000-0004-0000-0100-00006B020000}"/>
    <hyperlink ref="O300" r:id="rId621" xr:uid="{00000000-0004-0000-0100-00006C020000}"/>
    <hyperlink ref="P300" r:id="rId622" xr:uid="{00000000-0004-0000-0100-00006D020000}"/>
    <hyperlink ref="C301" r:id="rId623" xr:uid="{00000000-0004-0000-0100-00006E020000}"/>
    <hyperlink ref="O301" r:id="rId624" xr:uid="{00000000-0004-0000-0100-00006F020000}"/>
    <hyperlink ref="P301" r:id="rId625" xr:uid="{00000000-0004-0000-0100-000070020000}"/>
    <hyperlink ref="C302" r:id="rId626" xr:uid="{00000000-0004-0000-0100-000071020000}"/>
    <hyperlink ref="O302" r:id="rId627" xr:uid="{00000000-0004-0000-0100-000072020000}"/>
    <hyperlink ref="P302" r:id="rId628" xr:uid="{00000000-0004-0000-0100-000073020000}"/>
    <hyperlink ref="C303" r:id="rId629" xr:uid="{00000000-0004-0000-0100-000074020000}"/>
    <hyperlink ref="O303" r:id="rId630" xr:uid="{00000000-0004-0000-0100-000075020000}"/>
    <hyperlink ref="P303" r:id="rId631" xr:uid="{00000000-0004-0000-0100-000076020000}"/>
    <hyperlink ref="C304" r:id="rId632" xr:uid="{00000000-0004-0000-0100-000077020000}"/>
    <hyperlink ref="O304" r:id="rId633" xr:uid="{00000000-0004-0000-0100-000078020000}"/>
    <hyperlink ref="P304" r:id="rId634" xr:uid="{00000000-0004-0000-0100-000079020000}"/>
    <hyperlink ref="C305" r:id="rId635" xr:uid="{00000000-0004-0000-0100-00007A020000}"/>
    <hyperlink ref="O305" r:id="rId636" xr:uid="{00000000-0004-0000-0100-00007B020000}"/>
    <hyperlink ref="P305" r:id="rId637" xr:uid="{00000000-0004-0000-0100-00007C020000}"/>
    <hyperlink ref="C306" r:id="rId638" xr:uid="{00000000-0004-0000-0100-00007D020000}"/>
    <hyperlink ref="O306" r:id="rId639" xr:uid="{00000000-0004-0000-0100-00007E020000}"/>
    <hyperlink ref="P306" r:id="rId640" xr:uid="{00000000-0004-0000-0100-00007F020000}"/>
    <hyperlink ref="C307" r:id="rId641" xr:uid="{00000000-0004-0000-0100-000080020000}"/>
    <hyperlink ref="O307" r:id="rId642" xr:uid="{00000000-0004-0000-0100-000081020000}"/>
    <hyperlink ref="P307" r:id="rId643" xr:uid="{00000000-0004-0000-0100-000082020000}"/>
    <hyperlink ref="C308" r:id="rId644" xr:uid="{00000000-0004-0000-0100-000083020000}"/>
    <hyperlink ref="O308" r:id="rId645" xr:uid="{00000000-0004-0000-0100-000084020000}"/>
    <hyperlink ref="P308" r:id="rId646" xr:uid="{00000000-0004-0000-0100-000085020000}"/>
    <hyperlink ref="C309" r:id="rId647" xr:uid="{00000000-0004-0000-0100-000086020000}"/>
    <hyperlink ref="O309" r:id="rId648" xr:uid="{00000000-0004-0000-0100-000087020000}"/>
    <hyperlink ref="P309" r:id="rId649" xr:uid="{00000000-0004-0000-0100-000088020000}"/>
    <hyperlink ref="C310" r:id="rId650" xr:uid="{00000000-0004-0000-0100-000089020000}"/>
    <hyperlink ref="O310" r:id="rId651" xr:uid="{00000000-0004-0000-0100-00008A020000}"/>
    <hyperlink ref="P310" r:id="rId652" xr:uid="{00000000-0004-0000-0100-00008B020000}"/>
    <hyperlink ref="C311" r:id="rId653" xr:uid="{00000000-0004-0000-0100-00008C020000}"/>
    <hyperlink ref="O311" r:id="rId654" xr:uid="{00000000-0004-0000-0100-00008D020000}"/>
    <hyperlink ref="P311" r:id="rId655" xr:uid="{00000000-0004-0000-0100-00008E020000}"/>
    <hyperlink ref="C312" r:id="rId656" xr:uid="{00000000-0004-0000-0100-00008F020000}"/>
    <hyperlink ref="O312" r:id="rId657" xr:uid="{00000000-0004-0000-0100-000090020000}"/>
    <hyperlink ref="C313" r:id="rId658" xr:uid="{00000000-0004-0000-0100-000091020000}"/>
    <hyperlink ref="O313" r:id="rId659" xr:uid="{00000000-0004-0000-0100-000092020000}"/>
    <hyperlink ref="C314" r:id="rId660" xr:uid="{00000000-0004-0000-0100-000093020000}"/>
    <hyperlink ref="O314" r:id="rId661" xr:uid="{00000000-0004-0000-0100-000094020000}"/>
    <hyperlink ref="P314" r:id="rId662" xr:uid="{00000000-0004-0000-0100-000095020000}"/>
    <hyperlink ref="C315" r:id="rId663" xr:uid="{00000000-0004-0000-0100-000096020000}"/>
    <hyperlink ref="O315" r:id="rId664" xr:uid="{00000000-0004-0000-0100-000097020000}"/>
    <hyperlink ref="P315" r:id="rId665" xr:uid="{00000000-0004-0000-0100-000098020000}"/>
    <hyperlink ref="C316" r:id="rId666" xr:uid="{00000000-0004-0000-0100-000099020000}"/>
    <hyperlink ref="C323" r:id="rId667" xr:uid="{00000000-0004-0000-0100-00009A020000}"/>
    <hyperlink ref="O323" r:id="rId668" xr:uid="{00000000-0004-0000-0100-00009B020000}"/>
    <hyperlink ref="P323" r:id="rId669" xr:uid="{00000000-0004-0000-0100-00009C020000}"/>
    <hyperlink ref="C325" r:id="rId670" xr:uid="{00000000-0004-0000-0100-00009D020000}"/>
    <hyperlink ref="O325" r:id="rId671" xr:uid="{00000000-0004-0000-0100-00009E020000}"/>
    <hyperlink ref="P325" r:id="rId672" xr:uid="{00000000-0004-0000-0100-00009F020000}"/>
    <hyperlink ref="C326" r:id="rId673" xr:uid="{00000000-0004-0000-0100-0000A0020000}"/>
    <hyperlink ref="O326" r:id="rId674" xr:uid="{00000000-0004-0000-0100-0000A1020000}"/>
    <hyperlink ref="P326" r:id="rId675" xr:uid="{00000000-0004-0000-0100-0000A2020000}"/>
    <hyperlink ref="C327" r:id="rId676" xr:uid="{00000000-0004-0000-0100-0000A3020000}"/>
    <hyperlink ref="O327" r:id="rId677" xr:uid="{00000000-0004-0000-0100-0000A4020000}"/>
    <hyperlink ref="P327" r:id="rId678" xr:uid="{00000000-0004-0000-0100-0000A5020000}"/>
    <hyperlink ref="C328" r:id="rId679" xr:uid="{00000000-0004-0000-0100-0000A6020000}"/>
    <hyperlink ref="O328" r:id="rId680" xr:uid="{00000000-0004-0000-0100-0000A7020000}"/>
    <hyperlink ref="P328" r:id="rId681" xr:uid="{00000000-0004-0000-0100-0000A8020000}"/>
    <hyperlink ref="C330" r:id="rId682" xr:uid="{00000000-0004-0000-0100-0000A9020000}"/>
    <hyperlink ref="O330" r:id="rId683" xr:uid="{00000000-0004-0000-0100-0000AA020000}"/>
    <hyperlink ref="P330" r:id="rId684" xr:uid="{00000000-0004-0000-0100-0000AB020000}"/>
    <hyperlink ref="C331" r:id="rId685" xr:uid="{00000000-0004-0000-0100-0000AC020000}"/>
    <hyperlink ref="O331" r:id="rId686" xr:uid="{00000000-0004-0000-0100-0000AD020000}"/>
    <hyperlink ref="P331" r:id="rId687" xr:uid="{00000000-0004-0000-0100-0000AE020000}"/>
    <hyperlink ref="C332" r:id="rId688" xr:uid="{00000000-0004-0000-0100-0000AF020000}"/>
    <hyperlink ref="O332" r:id="rId689" xr:uid="{00000000-0004-0000-0100-0000B0020000}"/>
    <hyperlink ref="P332" r:id="rId690" xr:uid="{00000000-0004-0000-0100-0000B1020000}"/>
    <hyperlink ref="C333" r:id="rId691" xr:uid="{00000000-0004-0000-0100-0000B2020000}"/>
    <hyperlink ref="O333" r:id="rId692" xr:uid="{00000000-0004-0000-0100-0000B3020000}"/>
    <hyperlink ref="P333" r:id="rId693" xr:uid="{00000000-0004-0000-0100-0000B4020000}"/>
    <hyperlink ref="C334" r:id="rId694" xr:uid="{00000000-0004-0000-0100-0000B5020000}"/>
    <hyperlink ref="O334" r:id="rId695" xr:uid="{00000000-0004-0000-0100-0000B6020000}"/>
    <hyperlink ref="P334" r:id="rId696" xr:uid="{00000000-0004-0000-0100-0000B7020000}"/>
    <hyperlink ref="C335" r:id="rId697" xr:uid="{00000000-0004-0000-0100-0000B8020000}"/>
    <hyperlink ref="O335" r:id="rId698" xr:uid="{00000000-0004-0000-0100-0000B9020000}"/>
    <hyperlink ref="P335" r:id="rId699" xr:uid="{00000000-0004-0000-0100-0000BA020000}"/>
    <hyperlink ref="C336" r:id="rId700" xr:uid="{00000000-0004-0000-0100-0000BB020000}"/>
    <hyperlink ref="O336" r:id="rId701" xr:uid="{00000000-0004-0000-0100-0000BC020000}"/>
    <hyperlink ref="P336" r:id="rId702" xr:uid="{00000000-0004-0000-0100-0000BD020000}"/>
    <hyperlink ref="C337" r:id="rId703" xr:uid="{00000000-0004-0000-0100-0000BE020000}"/>
    <hyperlink ref="O337" r:id="rId704" xr:uid="{00000000-0004-0000-0100-0000BF020000}"/>
    <hyperlink ref="P337" r:id="rId705" xr:uid="{00000000-0004-0000-0100-0000C0020000}"/>
    <hyperlink ref="C338" r:id="rId706" xr:uid="{00000000-0004-0000-0100-0000C1020000}"/>
    <hyperlink ref="O338" r:id="rId707" xr:uid="{00000000-0004-0000-0100-0000C2020000}"/>
    <hyperlink ref="P338" r:id="rId708" xr:uid="{00000000-0004-0000-0100-0000C3020000}"/>
    <hyperlink ref="C339" r:id="rId709" xr:uid="{00000000-0004-0000-0100-0000C4020000}"/>
    <hyperlink ref="O339" r:id="rId710" xr:uid="{00000000-0004-0000-0100-0000C5020000}"/>
    <hyperlink ref="P339" r:id="rId711" xr:uid="{00000000-0004-0000-0100-0000C6020000}"/>
    <hyperlink ref="C340" r:id="rId712" xr:uid="{00000000-0004-0000-0100-0000C7020000}"/>
    <hyperlink ref="O340" r:id="rId713" xr:uid="{00000000-0004-0000-0100-0000C8020000}"/>
    <hyperlink ref="P340" r:id="rId714" xr:uid="{00000000-0004-0000-0100-0000C9020000}"/>
    <hyperlink ref="C341" r:id="rId715" xr:uid="{00000000-0004-0000-0100-0000CA020000}"/>
    <hyperlink ref="O341" r:id="rId716" xr:uid="{00000000-0004-0000-0100-0000CB020000}"/>
    <hyperlink ref="P341" r:id="rId717" xr:uid="{00000000-0004-0000-0100-0000CC020000}"/>
    <hyperlink ref="C342" r:id="rId718" xr:uid="{00000000-0004-0000-0100-0000CD020000}"/>
    <hyperlink ref="O342" r:id="rId719" xr:uid="{00000000-0004-0000-0100-0000CE020000}"/>
    <hyperlink ref="P342" r:id="rId720" xr:uid="{00000000-0004-0000-0100-0000CF020000}"/>
    <hyperlink ref="C343" r:id="rId721" xr:uid="{00000000-0004-0000-0100-0000D0020000}"/>
    <hyperlink ref="O343" r:id="rId722" xr:uid="{00000000-0004-0000-0100-0000D1020000}"/>
    <hyperlink ref="P343" r:id="rId723" xr:uid="{00000000-0004-0000-0100-0000D2020000}"/>
    <hyperlink ref="C344" r:id="rId724" xr:uid="{00000000-0004-0000-0100-0000D3020000}"/>
    <hyperlink ref="O344" r:id="rId725" xr:uid="{00000000-0004-0000-0100-0000D4020000}"/>
    <hyperlink ref="P344" r:id="rId726" xr:uid="{00000000-0004-0000-0100-0000D5020000}"/>
    <hyperlink ref="C345" r:id="rId727" xr:uid="{00000000-0004-0000-0100-0000D6020000}"/>
    <hyperlink ref="O345" r:id="rId728" xr:uid="{00000000-0004-0000-0100-0000D7020000}"/>
    <hyperlink ref="P345" r:id="rId729" xr:uid="{00000000-0004-0000-0100-0000D8020000}"/>
    <hyperlink ref="C346" r:id="rId730" xr:uid="{00000000-0004-0000-0100-0000D9020000}"/>
    <hyperlink ref="O346" r:id="rId731" xr:uid="{00000000-0004-0000-0100-0000DA020000}"/>
    <hyperlink ref="C347" r:id="rId732" xr:uid="{00000000-0004-0000-0100-0000DB020000}"/>
    <hyperlink ref="O347" r:id="rId733" xr:uid="{00000000-0004-0000-0100-0000DC020000}"/>
    <hyperlink ref="C348" r:id="rId734" xr:uid="{00000000-0004-0000-0100-0000DD020000}"/>
    <hyperlink ref="O348" r:id="rId735" xr:uid="{00000000-0004-0000-0100-0000DE020000}"/>
    <hyperlink ref="P348" r:id="rId736" xr:uid="{00000000-0004-0000-0100-0000DF020000}"/>
    <hyperlink ref="C349" r:id="rId737" xr:uid="{00000000-0004-0000-0100-0000E0020000}"/>
    <hyperlink ref="O349" r:id="rId738" xr:uid="{00000000-0004-0000-0100-0000E1020000}"/>
    <hyperlink ref="P349" r:id="rId739" xr:uid="{00000000-0004-0000-0100-0000E2020000}"/>
    <hyperlink ref="C350" r:id="rId740" xr:uid="{00000000-0004-0000-0100-0000E3020000}"/>
    <hyperlink ref="C357" r:id="rId741" xr:uid="{00000000-0004-0000-0100-0000E4020000}"/>
    <hyperlink ref="O357" r:id="rId742" xr:uid="{00000000-0004-0000-0100-0000E5020000}"/>
    <hyperlink ref="P357" r:id="rId743" xr:uid="{00000000-0004-0000-0100-0000E6020000}"/>
    <hyperlink ref="C359" r:id="rId744" xr:uid="{00000000-0004-0000-0100-0000E7020000}"/>
    <hyperlink ref="O359" r:id="rId745" xr:uid="{00000000-0004-0000-0100-0000E8020000}"/>
    <hyperlink ref="P359" r:id="rId746" xr:uid="{00000000-0004-0000-0100-0000E9020000}"/>
    <hyperlink ref="C360" r:id="rId747" xr:uid="{00000000-0004-0000-0100-0000EA020000}"/>
    <hyperlink ref="O360" r:id="rId748" xr:uid="{00000000-0004-0000-0100-0000EB020000}"/>
    <hyperlink ref="P360" r:id="rId749" xr:uid="{00000000-0004-0000-0100-0000EC020000}"/>
    <hyperlink ref="C361" r:id="rId750" xr:uid="{00000000-0004-0000-0100-0000ED020000}"/>
    <hyperlink ref="O361" r:id="rId751" xr:uid="{00000000-0004-0000-0100-0000EE020000}"/>
    <hyperlink ref="P361" r:id="rId752" xr:uid="{00000000-0004-0000-0100-0000EF020000}"/>
    <hyperlink ref="C362" r:id="rId753" xr:uid="{00000000-0004-0000-0100-0000F0020000}"/>
    <hyperlink ref="O362" r:id="rId754" xr:uid="{00000000-0004-0000-0100-0000F1020000}"/>
    <hyperlink ref="P362" r:id="rId755" xr:uid="{00000000-0004-0000-0100-0000F2020000}"/>
    <hyperlink ref="C364" r:id="rId756" xr:uid="{00000000-0004-0000-0100-0000F3020000}"/>
    <hyperlink ref="O364" r:id="rId757" xr:uid="{00000000-0004-0000-0100-0000F4020000}"/>
    <hyperlink ref="P364" r:id="rId758" xr:uid="{00000000-0004-0000-0100-0000F5020000}"/>
    <hyperlink ref="C365" r:id="rId759" xr:uid="{00000000-0004-0000-0100-0000F6020000}"/>
    <hyperlink ref="O365" r:id="rId760" xr:uid="{00000000-0004-0000-0100-0000F7020000}"/>
    <hyperlink ref="P365" r:id="rId761" xr:uid="{00000000-0004-0000-0100-0000F8020000}"/>
    <hyperlink ref="C366" r:id="rId762" xr:uid="{00000000-0004-0000-0100-0000F9020000}"/>
    <hyperlink ref="O366" r:id="rId763" xr:uid="{00000000-0004-0000-0100-0000FA020000}"/>
    <hyperlink ref="P366" r:id="rId764" xr:uid="{00000000-0004-0000-0100-0000FB020000}"/>
    <hyperlink ref="C367" r:id="rId765" xr:uid="{00000000-0004-0000-0100-0000FC020000}"/>
    <hyperlink ref="O367" r:id="rId766" xr:uid="{00000000-0004-0000-0100-0000FD020000}"/>
    <hyperlink ref="P367" r:id="rId767" xr:uid="{00000000-0004-0000-0100-0000FE020000}"/>
    <hyperlink ref="C368" r:id="rId768" xr:uid="{00000000-0004-0000-0100-0000FF020000}"/>
    <hyperlink ref="O368" r:id="rId769" xr:uid="{00000000-0004-0000-0100-000000030000}"/>
    <hyperlink ref="P368" r:id="rId770" xr:uid="{00000000-0004-0000-0100-000001030000}"/>
    <hyperlink ref="C369" r:id="rId771" xr:uid="{00000000-0004-0000-0100-000002030000}"/>
    <hyperlink ref="O369" r:id="rId772" xr:uid="{00000000-0004-0000-0100-000003030000}"/>
    <hyperlink ref="P369" r:id="rId773" xr:uid="{00000000-0004-0000-0100-000004030000}"/>
    <hyperlink ref="C370" r:id="rId774" xr:uid="{00000000-0004-0000-0100-000005030000}"/>
    <hyperlink ref="O370" r:id="rId775" xr:uid="{00000000-0004-0000-0100-000006030000}"/>
    <hyperlink ref="P370" r:id="rId776" xr:uid="{00000000-0004-0000-0100-000007030000}"/>
    <hyperlink ref="C371" r:id="rId777" xr:uid="{00000000-0004-0000-0100-000008030000}"/>
    <hyperlink ref="O371" r:id="rId778" xr:uid="{00000000-0004-0000-0100-000009030000}"/>
    <hyperlink ref="P371" r:id="rId779" xr:uid="{00000000-0004-0000-0100-00000A030000}"/>
    <hyperlink ref="C372" r:id="rId780" xr:uid="{00000000-0004-0000-0100-00000B030000}"/>
    <hyperlink ref="O372" r:id="rId781" xr:uid="{00000000-0004-0000-0100-00000C030000}"/>
    <hyperlink ref="P372" r:id="rId782" xr:uid="{00000000-0004-0000-0100-00000D030000}"/>
    <hyperlink ref="C373" r:id="rId783" xr:uid="{00000000-0004-0000-0100-00000E030000}"/>
    <hyperlink ref="O373" r:id="rId784" xr:uid="{00000000-0004-0000-0100-00000F030000}"/>
    <hyperlink ref="P373" r:id="rId785" xr:uid="{00000000-0004-0000-0100-000010030000}"/>
    <hyperlink ref="C374" r:id="rId786" xr:uid="{00000000-0004-0000-0100-000011030000}"/>
    <hyperlink ref="O374" r:id="rId787" xr:uid="{00000000-0004-0000-0100-000012030000}"/>
    <hyperlink ref="P374" r:id="rId788" xr:uid="{00000000-0004-0000-0100-000013030000}"/>
    <hyperlink ref="C375" r:id="rId789" xr:uid="{00000000-0004-0000-0100-000014030000}"/>
    <hyperlink ref="O375" r:id="rId790" xr:uid="{00000000-0004-0000-0100-000015030000}"/>
    <hyperlink ref="P375" r:id="rId791" xr:uid="{00000000-0004-0000-0100-000016030000}"/>
    <hyperlink ref="C376" r:id="rId792" xr:uid="{00000000-0004-0000-0100-000017030000}"/>
    <hyperlink ref="O376" r:id="rId793" xr:uid="{00000000-0004-0000-0100-000018030000}"/>
    <hyperlink ref="P376" r:id="rId794" xr:uid="{00000000-0004-0000-0100-000019030000}"/>
    <hyperlink ref="C377" r:id="rId795" xr:uid="{00000000-0004-0000-0100-00001A030000}"/>
    <hyperlink ref="O377" r:id="rId796" xr:uid="{00000000-0004-0000-0100-00001B030000}"/>
    <hyperlink ref="P377" r:id="rId797" xr:uid="{00000000-0004-0000-0100-00001C030000}"/>
    <hyperlink ref="C378" r:id="rId798" xr:uid="{00000000-0004-0000-0100-00001D030000}"/>
    <hyperlink ref="O378" r:id="rId799" xr:uid="{00000000-0004-0000-0100-00001E030000}"/>
    <hyperlink ref="P378" r:id="rId800" xr:uid="{00000000-0004-0000-0100-00001F030000}"/>
    <hyperlink ref="C379" r:id="rId801" xr:uid="{00000000-0004-0000-0100-000020030000}"/>
    <hyperlink ref="O379" r:id="rId802" xr:uid="{00000000-0004-0000-0100-000021030000}"/>
    <hyperlink ref="P379" r:id="rId803" xr:uid="{00000000-0004-0000-0100-000022030000}"/>
    <hyperlink ref="C380" r:id="rId804" xr:uid="{00000000-0004-0000-0100-000023030000}"/>
    <hyperlink ref="O380" r:id="rId805" xr:uid="{00000000-0004-0000-0100-000024030000}"/>
    <hyperlink ref="C381" r:id="rId806" xr:uid="{00000000-0004-0000-0100-000025030000}"/>
    <hyperlink ref="O381" r:id="rId807" xr:uid="{00000000-0004-0000-0100-000026030000}"/>
    <hyperlink ref="C382" r:id="rId808" xr:uid="{00000000-0004-0000-0100-000027030000}"/>
    <hyperlink ref="O382" r:id="rId809" xr:uid="{00000000-0004-0000-0100-000028030000}"/>
    <hyperlink ref="P382" r:id="rId810" xr:uid="{00000000-0004-0000-0100-000029030000}"/>
    <hyperlink ref="C383" r:id="rId811" xr:uid="{00000000-0004-0000-0100-00002A030000}"/>
    <hyperlink ref="O383" r:id="rId812" xr:uid="{00000000-0004-0000-0100-00002B030000}"/>
    <hyperlink ref="P383" r:id="rId813" xr:uid="{00000000-0004-0000-0100-00002C030000}"/>
    <hyperlink ref="C384" r:id="rId814" xr:uid="{00000000-0004-0000-0100-00002D030000}"/>
    <hyperlink ref="C391" r:id="rId815" xr:uid="{00000000-0004-0000-0100-00002E030000}"/>
    <hyperlink ref="O391" r:id="rId816" xr:uid="{00000000-0004-0000-0100-00002F030000}"/>
    <hyperlink ref="P391" r:id="rId817" xr:uid="{00000000-0004-0000-0100-000030030000}"/>
    <hyperlink ref="C393" r:id="rId818" xr:uid="{00000000-0004-0000-0100-000031030000}"/>
    <hyperlink ref="O393" r:id="rId819" xr:uid="{00000000-0004-0000-0100-000032030000}"/>
    <hyperlink ref="P393" r:id="rId820" xr:uid="{00000000-0004-0000-0100-000033030000}"/>
    <hyperlink ref="C394" r:id="rId821" xr:uid="{00000000-0004-0000-0100-000034030000}"/>
    <hyperlink ref="O394" r:id="rId822" xr:uid="{00000000-0004-0000-0100-000035030000}"/>
    <hyperlink ref="P394" r:id="rId823" xr:uid="{00000000-0004-0000-0100-000036030000}"/>
    <hyperlink ref="C395" r:id="rId824" xr:uid="{00000000-0004-0000-0100-000037030000}"/>
    <hyperlink ref="O395" r:id="rId825" xr:uid="{00000000-0004-0000-0100-000038030000}"/>
    <hyperlink ref="P395" r:id="rId826" xr:uid="{00000000-0004-0000-0100-000039030000}"/>
    <hyperlink ref="C396" r:id="rId827" xr:uid="{00000000-0004-0000-0100-00003A030000}"/>
    <hyperlink ref="O396" r:id="rId828" xr:uid="{00000000-0004-0000-0100-00003B030000}"/>
    <hyperlink ref="P396" r:id="rId829" xr:uid="{00000000-0004-0000-0100-00003C030000}"/>
    <hyperlink ref="C398" r:id="rId830" xr:uid="{00000000-0004-0000-0100-00003D030000}"/>
    <hyperlink ref="O398" r:id="rId831" xr:uid="{00000000-0004-0000-0100-00003E030000}"/>
    <hyperlink ref="P398" r:id="rId832" xr:uid="{00000000-0004-0000-0100-00003F030000}"/>
    <hyperlink ref="C399" r:id="rId833" xr:uid="{00000000-0004-0000-0100-000040030000}"/>
    <hyperlink ref="O399" r:id="rId834" xr:uid="{00000000-0004-0000-0100-000041030000}"/>
    <hyperlink ref="P399" r:id="rId835" xr:uid="{00000000-0004-0000-0100-000042030000}"/>
    <hyperlink ref="C400" r:id="rId836" xr:uid="{00000000-0004-0000-0100-000043030000}"/>
    <hyperlink ref="O400" r:id="rId837" xr:uid="{00000000-0004-0000-0100-000044030000}"/>
    <hyperlink ref="P400" r:id="rId838" xr:uid="{00000000-0004-0000-0100-000045030000}"/>
    <hyperlink ref="C401" r:id="rId839" xr:uid="{00000000-0004-0000-0100-000046030000}"/>
    <hyperlink ref="O401" r:id="rId840" xr:uid="{00000000-0004-0000-0100-000047030000}"/>
    <hyperlink ref="P401" r:id="rId841" xr:uid="{00000000-0004-0000-0100-000048030000}"/>
    <hyperlink ref="C402" r:id="rId842" xr:uid="{00000000-0004-0000-0100-000049030000}"/>
    <hyperlink ref="O402" r:id="rId843" xr:uid="{00000000-0004-0000-0100-00004A030000}"/>
    <hyperlink ref="P402" r:id="rId844" xr:uid="{00000000-0004-0000-0100-00004B030000}"/>
    <hyperlink ref="C403" r:id="rId845" xr:uid="{00000000-0004-0000-0100-00004C030000}"/>
    <hyperlink ref="O403" r:id="rId846" xr:uid="{00000000-0004-0000-0100-00004D030000}"/>
    <hyperlink ref="P403" r:id="rId847" xr:uid="{00000000-0004-0000-0100-00004E030000}"/>
    <hyperlink ref="C404" r:id="rId848" xr:uid="{00000000-0004-0000-0100-00004F030000}"/>
    <hyperlink ref="O404" r:id="rId849" xr:uid="{00000000-0004-0000-0100-000050030000}"/>
    <hyperlink ref="P404" r:id="rId850" xr:uid="{00000000-0004-0000-0100-000051030000}"/>
    <hyperlink ref="C405" r:id="rId851" xr:uid="{00000000-0004-0000-0100-000052030000}"/>
    <hyperlink ref="O405" r:id="rId852" xr:uid="{00000000-0004-0000-0100-000053030000}"/>
    <hyperlink ref="P405" r:id="rId853" xr:uid="{00000000-0004-0000-0100-000054030000}"/>
    <hyperlink ref="C406" r:id="rId854" xr:uid="{00000000-0004-0000-0100-000055030000}"/>
    <hyperlink ref="O406" r:id="rId855" xr:uid="{00000000-0004-0000-0100-000056030000}"/>
    <hyperlink ref="P406" r:id="rId856" xr:uid="{00000000-0004-0000-0100-000057030000}"/>
    <hyperlink ref="C407" r:id="rId857" xr:uid="{00000000-0004-0000-0100-000058030000}"/>
    <hyperlink ref="O407" r:id="rId858" xr:uid="{00000000-0004-0000-0100-000059030000}"/>
    <hyperlink ref="P407" r:id="rId859" xr:uid="{00000000-0004-0000-0100-00005A030000}"/>
    <hyperlink ref="C408" r:id="rId860" xr:uid="{00000000-0004-0000-0100-00005B030000}"/>
    <hyperlink ref="O408" r:id="rId861" xr:uid="{00000000-0004-0000-0100-00005C030000}"/>
    <hyperlink ref="P408" r:id="rId862" xr:uid="{00000000-0004-0000-0100-00005D030000}"/>
    <hyperlink ref="C409" r:id="rId863" xr:uid="{00000000-0004-0000-0100-00005E030000}"/>
    <hyperlink ref="O409" r:id="rId864" xr:uid="{00000000-0004-0000-0100-00005F030000}"/>
    <hyperlink ref="P409" r:id="rId865" xr:uid="{00000000-0004-0000-0100-000060030000}"/>
    <hyperlink ref="C410" r:id="rId866" xr:uid="{00000000-0004-0000-0100-000061030000}"/>
    <hyperlink ref="O410" r:id="rId867" xr:uid="{00000000-0004-0000-0100-000062030000}"/>
    <hyperlink ref="P410" r:id="rId868" xr:uid="{00000000-0004-0000-0100-000063030000}"/>
    <hyperlink ref="C411" r:id="rId869" xr:uid="{00000000-0004-0000-0100-000064030000}"/>
    <hyperlink ref="O411" r:id="rId870" xr:uid="{00000000-0004-0000-0100-000065030000}"/>
    <hyperlink ref="P411" r:id="rId871" xr:uid="{00000000-0004-0000-0100-000066030000}"/>
    <hyperlink ref="C412" r:id="rId872" xr:uid="{00000000-0004-0000-0100-000067030000}"/>
    <hyperlink ref="O412" r:id="rId873" xr:uid="{00000000-0004-0000-0100-000068030000}"/>
    <hyperlink ref="P412" r:id="rId874" xr:uid="{00000000-0004-0000-0100-000069030000}"/>
    <hyperlink ref="C413" r:id="rId875" xr:uid="{00000000-0004-0000-0100-00006A030000}"/>
    <hyperlink ref="O413" r:id="rId876" xr:uid="{00000000-0004-0000-0100-00006B030000}"/>
    <hyperlink ref="P413" r:id="rId877" xr:uid="{00000000-0004-0000-0100-00006C030000}"/>
    <hyperlink ref="C414" r:id="rId878" xr:uid="{00000000-0004-0000-0100-00006D030000}"/>
    <hyperlink ref="O414" r:id="rId879" xr:uid="{00000000-0004-0000-0100-00006E030000}"/>
    <hyperlink ref="C415" r:id="rId880" xr:uid="{00000000-0004-0000-0100-00006F030000}"/>
    <hyperlink ref="O415" r:id="rId881" xr:uid="{00000000-0004-0000-0100-000070030000}"/>
    <hyperlink ref="C416" r:id="rId882" xr:uid="{00000000-0004-0000-0100-000071030000}"/>
    <hyperlink ref="O416" r:id="rId883" xr:uid="{00000000-0004-0000-0100-000072030000}"/>
    <hyperlink ref="P416" r:id="rId884" xr:uid="{00000000-0004-0000-0100-000073030000}"/>
    <hyperlink ref="C417" r:id="rId885" xr:uid="{00000000-0004-0000-0100-000074030000}"/>
    <hyperlink ref="O417" r:id="rId886" xr:uid="{00000000-0004-0000-0100-000075030000}"/>
    <hyperlink ref="P417" r:id="rId887" xr:uid="{00000000-0004-0000-0100-000076030000}"/>
    <hyperlink ref="C418" r:id="rId888" xr:uid="{00000000-0004-0000-0100-000077030000}"/>
    <hyperlink ref="C16" r:id="rId889" xr:uid="{563ED03B-EFB3-416C-8F78-3AF57902A425}"/>
    <hyperlink ref="C50" r:id="rId890" xr:uid="{30759828-6903-423B-89C5-DEE42C2950DB}"/>
    <hyperlink ref="C84" r:id="rId891" xr:uid="{8598CACD-84DE-493B-B4F2-16867D7CC3F2}"/>
    <hyperlink ref="C118" r:id="rId892" xr:uid="{D4FE71DF-527B-44D6-ABCF-6FAC513F6A95}"/>
    <hyperlink ref="C152" r:id="rId893" xr:uid="{A0F259B2-2E48-41DF-86B1-FE2463AB45A9}"/>
    <hyperlink ref="C186" r:id="rId894" xr:uid="{35B7CC34-5619-4C99-A678-931DF5CF33DC}"/>
    <hyperlink ref="C222" r:id="rId895" xr:uid="{3D071268-22CE-451B-A1F8-6E318E11EF80}"/>
    <hyperlink ref="C256" r:id="rId896" xr:uid="{ECB1671C-D264-474B-86BE-FE4F2CB3AF9F}"/>
    <hyperlink ref="C290" r:id="rId897" xr:uid="{423FD5EE-07AC-488F-B30E-08E5EAACC398}"/>
    <hyperlink ref="C324" r:id="rId898" xr:uid="{61F5BC92-F800-4E3E-B229-1BB4EF75E4FA}"/>
    <hyperlink ref="C358" r:id="rId899" xr:uid="{6C407249-CB79-48D1-B9FD-23B78E7E147C}"/>
    <hyperlink ref="C392" r:id="rId900" xr:uid="{93C81B71-51C0-4CE6-8E34-588734640A3C}"/>
  </hyperlinks>
  <printOptions horizontalCentered="1" verticalCentered="1"/>
  <pageMargins left="0.45" right="0.45" top="0.25" bottom="0.25" header="0.05" footer="0.05"/>
  <pageSetup scale="50" orientation="landscape" r:id="rId901"/>
  <rowBreaks count="12" manualBreakCount="12">
    <brk id="9" max="16383" man="1"/>
    <brk id="44" max="16383" man="1"/>
    <brk id="78" max="16383" man="1"/>
    <brk id="112" max="16383" man="1"/>
    <brk id="146" max="16383" man="1"/>
    <brk id="180" max="16383" man="1"/>
    <brk id="214" max="16383" man="1"/>
    <brk id="250" max="16383" man="1"/>
    <brk id="284" max="16383" man="1"/>
    <brk id="318" max="16383" man="1"/>
    <brk id="352" max="16383" man="1"/>
    <brk id="386" max="16383" man="1"/>
  </rowBreaks>
  <legacyDrawing r:id="rId902"/>
  <tableParts count="13">
    <tablePart r:id="rId903"/>
    <tablePart r:id="rId904"/>
    <tablePart r:id="rId905"/>
    <tablePart r:id="rId906"/>
    <tablePart r:id="rId907"/>
    <tablePart r:id="rId908"/>
    <tablePart r:id="rId909"/>
    <tablePart r:id="rId910"/>
    <tablePart r:id="rId911"/>
    <tablePart r:id="rId912"/>
    <tablePart r:id="rId913"/>
    <tablePart r:id="rId914"/>
    <tablePart r:id="rId91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43731-1B5F-432C-AA01-18BC4D8E80D7}">
  <dimension ref="A1:Q189"/>
  <sheetViews>
    <sheetView workbookViewId="0">
      <pane ySplit="3" topLeftCell="A152" activePane="bottomLeft" state="frozen"/>
      <selection pane="bottomLeft" activeCell="A78" sqref="A78"/>
    </sheetView>
  </sheetViews>
  <sheetFormatPr defaultRowHeight="12.5" x14ac:dyDescent="0.25"/>
  <cols>
    <col min="1" max="1" width="36.36328125" customWidth="1"/>
    <col min="2" max="13" width="9.08984375" customWidth="1"/>
    <col min="14" max="14" width="12.7265625" customWidth="1"/>
    <col min="15" max="15" width="11.81640625" customWidth="1"/>
  </cols>
  <sheetData>
    <row r="1" spans="1:13" ht="40" customHeight="1" x14ac:dyDescent="0.6">
      <c r="A1" s="176" t="s">
        <v>167</v>
      </c>
      <c r="B1" s="148"/>
      <c r="C1" s="148"/>
      <c r="D1" s="148"/>
      <c r="E1" s="148"/>
      <c r="F1" s="148"/>
      <c r="G1" s="148"/>
      <c r="H1" s="148"/>
      <c r="I1" s="148"/>
      <c r="J1" s="148"/>
      <c r="K1" s="148"/>
      <c r="L1" s="148"/>
      <c r="M1" s="148"/>
    </row>
    <row r="2" spans="1:13" ht="13" x14ac:dyDescent="0.3">
      <c r="A2" s="177" t="s">
        <v>168</v>
      </c>
      <c r="B2" s="148"/>
      <c r="C2" s="148"/>
      <c r="D2" s="148"/>
      <c r="E2" s="148"/>
      <c r="F2" s="148"/>
      <c r="G2" s="148"/>
      <c r="H2" s="148"/>
      <c r="I2" s="148"/>
      <c r="J2" s="148"/>
      <c r="K2" s="148"/>
      <c r="L2" s="148"/>
      <c r="M2" s="148"/>
    </row>
    <row r="4" spans="1:13" ht="18" x14ac:dyDescent="0.4">
      <c r="A4" s="178" t="s">
        <v>233</v>
      </c>
      <c r="B4" s="148"/>
      <c r="C4" s="148"/>
      <c r="D4" s="148"/>
    </row>
    <row r="5" spans="1:13" ht="13" x14ac:dyDescent="0.3">
      <c r="A5" s="96" t="s">
        <v>169</v>
      </c>
      <c r="B5" s="96">
        <v>1</v>
      </c>
      <c r="C5" s="96">
        <v>2</v>
      </c>
      <c r="D5" s="96">
        <v>3</v>
      </c>
      <c r="E5" s="96">
        <v>4</v>
      </c>
      <c r="F5" s="96">
        <v>5</v>
      </c>
      <c r="G5" s="96">
        <v>6</v>
      </c>
      <c r="H5" s="96">
        <v>7</v>
      </c>
      <c r="I5" s="96">
        <v>8</v>
      </c>
      <c r="J5" s="96">
        <v>9</v>
      </c>
      <c r="K5" s="96">
        <v>10</v>
      </c>
      <c r="L5" s="96">
        <v>11</v>
      </c>
      <c r="M5" s="96">
        <v>12</v>
      </c>
    </row>
    <row r="6" spans="1:13" ht="13" x14ac:dyDescent="0.3">
      <c r="A6" s="91" t="s">
        <v>170</v>
      </c>
      <c r="B6" s="105">
        <f>'Week 1'!B39</f>
        <v>157.85</v>
      </c>
      <c r="C6" s="105">
        <f>'Week 2'!B39</f>
        <v>0</v>
      </c>
      <c r="D6" s="105">
        <f>'Week 3'!B39</f>
        <v>0</v>
      </c>
      <c r="E6" s="105">
        <f>'Week 4'!B39</f>
        <v>0</v>
      </c>
      <c r="F6" s="105">
        <f>'Week 5'!B39</f>
        <v>0</v>
      </c>
      <c r="G6" s="105">
        <f>'Week 6'!B39</f>
        <v>0</v>
      </c>
      <c r="H6" s="105">
        <f>'Week 7'!B39</f>
        <v>0</v>
      </c>
      <c r="I6" s="105">
        <f>'Week 8'!B39</f>
        <v>0</v>
      </c>
      <c r="J6" s="105">
        <f>'Week 9'!B39</f>
        <v>0</v>
      </c>
      <c r="K6" s="105">
        <f>'Week 10'!B39</f>
        <v>0</v>
      </c>
      <c r="L6" s="105">
        <f>'Week 11'!B39</f>
        <v>0</v>
      </c>
      <c r="M6" s="105">
        <f>'Week 12'!B39</f>
        <v>0</v>
      </c>
    </row>
    <row r="8" spans="1:13" ht="18" x14ac:dyDescent="0.4">
      <c r="A8" s="179" t="s">
        <v>171</v>
      </c>
      <c r="B8" s="148"/>
      <c r="C8" s="148"/>
      <c r="D8" s="148"/>
      <c r="E8" s="148"/>
      <c r="F8" s="148"/>
      <c r="G8" s="148"/>
      <c r="H8" s="148"/>
      <c r="I8" s="148"/>
      <c r="J8" s="148"/>
      <c r="K8" s="148"/>
      <c r="L8" s="148"/>
      <c r="M8" s="148"/>
    </row>
    <row r="9" spans="1:13" ht="35" customHeight="1" x14ac:dyDescent="0.3">
      <c r="A9" s="180" t="s">
        <v>172</v>
      </c>
      <c r="B9" s="148"/>
      <c r="C9" s="148"/>
      <c r="D9" s="148"/>
      <c r="E9" s="148"/>
      <c r="F9" s="148"/>
      <c r="G9" s="148"/>
      <c r="H9" s="148"/>
      <c r="I9" s="148"/>
      <c r="J9" s="148"/>
      <c r="K9" s="148"/>
      <c r="L9" s="148"/>
      <c r="M9" s="148"/>
    </row>
    <row r="11" spans="1:13" ht="13" x14ac:dyDescent="0.3">
      <c r="A11" s="97" t="s">
        <v>173</v>
      </c>
      <c r="B11" s="97" t="s">
        <v>174</v>
      </c>
      <c r="C11" s="97" t="s">
        <v>175</v>
      </c>
      <c r="D11" s="97" t="s">
        <v>176</v>
      </c>
      <c r="E11" s="97" t="s">
        <v>177</v>
      </c>
      <c r="F11" s="97" t="s">
        <v>178</v>
      </c>
      <c r="G11" s="97" t="s">
        <v>179</v>
      </c>
      <c r="H11" s="97" t="s">
        <v>180</v>
      </c>
      <c r="I11" s="97" t="s">
        <v>181</v>
      </c>
      <c r="J11" s="97" t="s">
        <v>182</v>
      </c>
      <c r="K11" s="97" t="s">
        <v>183</v>
      </c>
      <c r="L11" s="97" t="s">
        <v>184</v>
      </c>
      <c r="M11" s="97" t="s">
        <v>185</v>
      </c>
    </row>
    <row r="12" spans="1:13" ht="13" x14ac:dyDescent="0.3">
      <c r="A12" s="91" t="s">
        <v>186</v>
      </c>
      <c r="B12" s="102">
        <f>IFERROR(SUMPRODUCT(('Week 1'!E6)*('Week 1'!F6)*('Week 1'!G6))+SUMPRODUCT(('Week 1'!E21)*('Week 1'!F21)*('Week 1'!G21))+SUMPRODUCT(('Week 1'!E24)*('Week 1'!F24)*('Week 1'!G24)), "")</f>
        <v>1120</v>
      </c>
      <c r="C12" s="102">
        <f>IFERROR(SUMPRODUCT(('Week 2'!E6)*('Week 2'!F6)*('Week 2'!G6))+SUMPRODUCT(('Week 2'!E21)*('Week 2'!F21)*('Week 2'!G21))+SUMPRODUCT(('Week 2'!E24)*('Week 2'!F24)*('Week 2'!G24)), "")</f>
        <v>0</v>
      </c>
      <c r="D12" s="102">
        <f>IFERROR(SUMPRODUCT(('Week 3'!E6)*('Week 3'!F6)*('Week 3'!G6))+SUMPRODUCT(('Week 3'!E21)*('Week 3'!F21)*('Week 3'!G21))+SUMPRODUCT(('Week 3'!E24)*('Week 3'!F24)*('Week 3'!G24)), "")</f>
        <v>0</v>
      </c>
      <c r="E12" s="102">
        <f>IFERROR(SUMPRODUCT(('Week 4'!E6)*('Week 4'!F6)*('Week 4'!G6))+SUMPRODUCT(('Week 4'!E21)*('Week 4'!F21)*('Week 4'!G21))+SUMPRODUCT(('Week 4'!E24)*('Week 4'!F24)*('Week 4'!G24)), "")</f>
        <v>0</v>
      </c>
      <c r="F12" s="102">
        <f>IFERROR(SUMPRODUCT(('Week 5'!E6)*('Week 5'!F6)*('Week 5'!G6))+SUMPRODUCT(('Week 5'!E21)*('Week 5'!F21)*('Week 5'!G21))+SUMPRODUCT(('Week 5'!E24)*('Week 5'!F24)*('Week 5'!G24)), "")</f>
        <v>0</v>
      </c>
      <c r="G12" s="102">
        <f>IFERROR(SUMPRODUCT(('Week 6'!E6)*('Week 6'!F6)*('Week 6'!G6))+SUMPRODUCT(('Week 6'!E21)*('Week 6'!F21)*('Week 6'!G21))+SUMPRODUCT(('Week 6'!E24)*('Week 6'!F24)*('Week 6'!G24)), "")</f>
        <v>0</v>
      </c>
      <c r="H12" s="102">
        <f>IFERROR(SUMPRODUCT(('Week 7'!E6)*('Week 7'!F6)*('Week 7'!G6))+SUMPRODUCT(('Week 7'!E21)*('Week 7'!F21)*('Week 7'!G21))+SUMPRODUCT(('Week 7'!E24)*('Week 7'!F24)*('Week 7'!G24)), "")</f>
        <v>0</v>
      </c>
      <c r="I12" s="102">
        <f>IFERROR(SUMPRODUCT(('Week 8'!E6)*('Week 8'!F6)*('Week 8'!G6))+SUMPRODUCT(('Week 8'!E21)*('Week 8'!F21)*('Week 8'!G21))+SUMPRODUCT(('Week 8'!E24)*('Week 8'!F24)*('Week 8'!G24)), "")</f>
        <v>0</v>
      </c>
      <c r="J12" s="102">
        <f>IFERROR(SUMPRODUCT(('Week 9'!E6)*('Week 9'!F6)*('Week 9'!G6))+SUMPRODUCT(('Week 9'!E21)*('Week 9'!F21)*('Week 9'!G21))+SUMPRODUCT(('Week 9'!E24)*('Week 9'!F24)*('Week 9'!G24)), "")</f>
        <v>0</v>
      </c>
      <c r="K12" s="102">
        <f>IFERROR(SUMPRODUCT(('Week 10'!E6)*('Week 10'!F6)*('Week 10'!G6))+SUMPRODUCT(('Week 10'!E21)*('Week 10'!F21)*('Week 10'!G21))+SUMPRODUCT(('Week 10'!E24)*('Week 10'!F24)*('Week 10'!G24)), "")</f>
        <v>0</v>
      </c>
      <c r="L12" s="102">
        <f>IFERROR(SUMPRODUCT(('Week 11'!E6)*('Week 11'!F6)*('Week 11'!G6))+SUMPRODUCT(('Week 11'!E21)*('Week 11'!F21)*('Week 11'!G21))+SUMPRODUCT(('Week 11'!E24)*('Week 11'!F24)*('Week 11'!G24)), "")</f>
        <v>0</v>
      </c>
      <c r="M12" s="102">
        <f>IFERROR(SUMPRODUCT(('Week 12'!E6)*('Week 12'!F6)*('Week 12'!G6))+SUMPRODUCT(('Week 12'!E21)*('Week 12'!F21)*('Week 12'!G21))+SUMPRODUCT(('Week 12'!E24)*('Week 12'!F24)*('Week 12'!G24)), "")</f>
        <v>0</v>
      </c>
    </row>
    <row r="13" spans="1:13" ht="13" x14ac:dyDescent="0.3">
      <c r="A13" s="91" t="s">
        <v>187</v>
      </c>
      <c r="B13" s="102">
        <f>IFERROR(SUMPRODUCT(('Week 1'!E5)*('Week 1'!F5)*('Week 1'!G5))+SUMPRODUCT(('Week 1'!E22)*('Week 1'!F22)*('Week 1'!G22)), "")</f>
        <v>2520</v>
      </c>
      <c r="C13" s="102">
        <f>IFERROR(SUMPRODUCT(('Week 2'!E5)*('Week 2'!F5)*('Week 2'!G5))+SUMPRODUCT(('Week 2'!E22)*('Week 2'!F22)*('Week 2'!G22)), "")</f>
        <v>0</v>
      </c>
      <c r="D13" s="102">
        <f>IFERROR(SUMPRODUCT(('Week 3'!E5)*('Week 3'!F5)*('Week 3'!G5))+SUMPRODUCT(('Week 3'!E22)*('Week 3'!F22)*('Week 3'!G22)), "")</f>
        <v>0</v>
      </c>
      <c r="E13" s="102">
        <f>IFERROR(SUMPRODUCT(('Week 4'!E5)*('Week 4'!F5)*('Week 4'!G5))+SUMPRODUCT(('Week 4'!E22)*('Week 4'!F22)*('Week 4'!G22)), "")</f>
        <v>0</v>
      </c>
      <c r="F13" s="102">
        <f>IFERROR(SUMPRODUCT(('Week 5'!E5)*('Week 5'!F5)*('Week 5'!G5))+SUMPRODUCT(('Week 5'!E22)*('Week 5'!F22)*('Week 5'!G22)), "")</f>
        <v>0</v>
      </c>
      <c r="G13" s="102">
        <f>IFERROR(SUMPRODUCT(('Week 6'!E5)*('Week 6'!F5)*('Week 6'!G5))+SUMPRODUCT(('Week 6'!E22)*('Week 6'!F22)*('Week 6'!G22)), "")</f>
        <v>0</v>
      </c>
      <c r="H13" s="102">
        <f>IFERROR(SUMPRODUCT(('Week 7'!E5)*('Week 7'!F5)*('Week 7'!G5))+SUMPRODUCT(('Week 7'!E22)*('Week 7'!F22)*('Week 7'!G22)), "")</f>
        <v>0</v>
      </c>
      <c r="I13" s="102">
        <f>IFERROR(SUMPRODUCT(('Week 8'!E5)*('Week 8'!F5)*('Week 8'!G5))+SUMPRODUCT(('Week 8'!E22)*('Week 8'!F22)*('Week 8'!G22)), "")</f>
        <v>0</v>
      </c>
      <c r="J13" s="102">
        <f>IFERROR(SUMPRODUCT(('Week 9'!E5)*('Week 9'!F5)*('Week 9'!G5))+SUMPRODUCT(('Week 9'!E22)*('Week 9'!F22)*('Week 9'!G22)), "")</f>
        <v>0</v>
      </c>
      <c r="K13" s="102">
        <f>IFERROR(SUMPRODUCT(('Week 10'!E5)*('Week 10'!F5)*('Week 10'!G5))+SUMPRODUCT(('Week 10'!E22)*('Week 10'!F22)*('Week 10'!G22)), "")</f>
        <v>0</v>
      </c>
      <c r="L13" s="102">
        <f>IFERROR(SUMPRODUCT(('Week 11'!E5)*('Week 11'!F5)*('Week 11'!G5))+SUMPRODUCT(('Week 11'!E22)*('Week 11'!F22)*('Week 11'!G22)), "")</f>
        <v>0</v>
      </c>
      <c r="M13" s="102">
        <f>IFERROR(SUMPRODUCT(('Week 12'!E5)*('Week 12'!F5)*('Week 12'!G5))+SUMPRODUCT(('Week 12'!E22)*('Week 12'!F22)*('Week 12'!G22)), "")</f>
        <v>0</v>
      </c>
    </row>
    <row r="14" spans="1:13" ht="13" x14ac:dyDescent="0.3">
      <c r="A14" s="91" t="s">
        <v>188</v>
      </c>
      <c r="B14" s="102">
        <f>IFERROR(SUMPRODUCT(('Week 1'!E23)*('Week 1'!F23)*('Week 1'!G23)), "")</f>
        <v>1040</v>
      </c>
      <c r="C14" s="102">
        <f>IFERROR(SUMPRODUCT(('Week 2'!E23)*('Week 2'!F23)*('Week 2'!G23)), "")</f>
        <v>0</v>
      </c>
      <c r="D14" s="102">
        <f>IFERROR(SUMPRODUCT(('Week 3'!E23)*('Week 3'!F23)*('Week 3'!G23)), "")</f>
        <v>0</v>
      </c>
      <c r="E14" s="102">
        <f>IFERROR(SUMPRODUCT(('Week 4'!E23)*('Week 4'!F23)*('Week 4'!G23)), "")</f>
        <v>0</v>
      </c>
      <c r="F14" s="102">
        <f>IFERROR(SUMPRODUCT(('Week 5'!E23)*('Week 5'!F23)*('Week 5'!G23)), "")</f>
        <v>0</v>
      </c>
      <c r="G14" s="102">
        <f>IFERROR(SUMPRODUCT(('Week 6'!E23)*('Week 6'!F23)*('Week 6'!G23)), "")</f>
        <v>0</v>
      </c>
      <c r="H14" s="102">
        <f>IFERROR(SUMPRODUCT(('Week 7'!E23)*('Week 7'!F23)*('Week 7'!G23)), "")</f>
        <v>0</v>
      </c>
      <c r="I14" s="102">
        <f>IFERROR(SUMPRODUCT(('Week 8'!E23)*('Week 8'!F23)*('Week 8'!G23)), "")</f>
        <v>0</v>
      </c>
      <c r="J14" s="102">
        <f>IFERROR(SUMPRODUCT(('Week 9'!E23)*('Week 9'!F23)*('Week 9'!G23)), "")</f>
        <v>0</v>
      </c>
      <c r="K14" s="102">
        <f>IFERROR(SUMPRODUCT(('Week 10'!E23)*('Week 10'!F23)*('Week 10'!G23)), "")</f>
        <v>0</v>
      </c>
      <c r="L14" s="102">
        <f>IFERROR(SUMPRODUCT(('Week 11'!E23)*('Week 11'!F23)*('Week 11'!G23)), "")</f>
        <v>0</v>
      </c>
      <c r="M14" s="102">
        <f>IFERROR(SUMPRODUCT(('Week 12'!E23)*('Week 12'!F23)*('Week 12'!G23)), "")</f>
        <v>0</v>
      </c>
    </row>
    <row r="15" spans="1:13" ht="13" x14ac:dyDescent="0.3">
      <c r="A15" s="91" t="s">
        <v>189</v>
      </c>
      <c r="B15" s="102">
        <f>IFERROR(SUMPRODUCT(('Week 1'!E7)*('Week 1'!F7)*('Week 1'!G7))+SUMPRODUCT(('Week 1'!E16)*('Week 1'!F16)*('Week 1'!G16)), "")</f>
        <v>1840</v>
      </c>
      <c r="C15" s="102">
        <f>IFERROR(SUMPRODUCT(('Week 2'!E7)*('Week 2'!F7)*('Week 2'!G7))+SUMPRODUCT(('Week 2'!E16)*('Week 2'!F16)*('Week 2'!G16)), "")</f>
        <v>0</v>
      </c>
      <c r="D15" s="102">
        <f>IFERROR(SUMPRODUCT(('Week 3'!E7)*('Week 3'!F7)*('Week 3'!G7))+SUMPRODUCT(('Week 3'!E16)*('Week 3'!F16)*('Week 3'!G16)), "")</f>
        <v>0</v>
      </c>
      <c r="E15" s="102">
        <f>IFERROR(SUMPRODUCT(('Week 4'!E7)*('Week 4'!F7)*('Week 4'!G7))+SUMPRODUCT(('Week 4'!E16)*('Week 4'!F16)*('Week 4'!G16)), "")</f>
        <v>0</v>
      </c>
      <c r="F15" s="102">
        <f>IFERROR(SUMPRODUCT(('Week 5'!E7)*('Week 5'!F7)*('Week 5'!G7))+SUMPRODUCT(('Week 5'!E16)*('Week 5'!F16)*('Week 5'!G16)), "")</f>
        <v>0</v>
      </c>
      <c r="G15" s="102">
        <f>IFERROR(SUMPRODUCT(('Week 6'!E7)*('Week 6'!F7)*('Week 6'!G7))+SUMPRODUCT(('Week 6'!E16)*('Week 6'!F16)*('Week 6'!G16)), "")</f>
        <v>0</v>
      </c>
      <c r="H15" s="102">
        <f>IFERROR(SUMPRODUCT(('Week 7'!E7)*('Week 7'!F7)*('Week 7'!G7))+SUMPRODUCT(('Week 7'!E16)*('Week 7'!F16)*('Week 7'!G16)), "")</f>
        <v>0</v>
      </c>
      <c r="I15" s="102">
        <f>IFERROR(SUMPRODUCT(('Week 8'!E7)*('Week 8'!F7)*('Week 8'!G7))+SUMPRODUCT(('Week 8'!E16)*('Week 8'!F16)*('Week 8'!G16)), "")</f>
        <v>0</v>
      </c>
      <c r="J15" s="102">
        <f>IFERROR(SUMPRODUCT(('Week 9'!E7)*('Week 9'!F7)*('Week 9'!G7))+SUMPRODUCT(('Week 9'!E16)*('Week 9'!F16)*('Week 9'!G16)), "")</f>
        <v>0</v>
      </c>
      <c r="K15" s="102">
        <f>IFERROR(SUMPRODUCT(('Week 10'!E7)*('Week 10'!F7)*('Week 10'!G7))+SUMPRODUCT(('Week 10'!E16)*('Week 10'!F16)*('Week 10'!G16)), "")</f>
        <v>0</v>
      </c>
      <c r="L15" s="102">
        <f>IFERROR(SUMPRODUCT(('Week 11'!E7)*('Week 11'!F7)*('Week 11'!G7))+SUMPRODUCT(('Week 11'!E16)*('Week 11'!F16)*('Week 11'!G16)), "")</f>
        <v>0</v>
      </c>
      <c r="M15" s="102">
        <f>IFERROR(SUMPRODUCT(('Week 12'!E7)*('Week 12'!F7)*('Week 12'!G7))+SUMPRODUCT(('Week 12'!E16)*('Week 12'!F16)*('Week 12'!G16)), "")</f>
        <v>0</v>
      </c>
    </row>
    <row r="16" spans="1:13" ht="13" x14ac:dyDescent="0.3">
      <c r="A16" s="91" t="s">
        <v>190</v>
      </c>
      <c r="B16" s="102">
        <f>IFERROR(SUMPRODUCT(('Week 1'!E9)*('Week 1'!F9)*('Week 1'!G9))+SUMPRODUCT(('Week 1'!E13)*('Week 1'!F13)*('Week 1'!G13))+SUMPRODUCT(('Week 1'!E14)*('Week 1'!F14)*('Week 1'!G14))+SUMPRODUCT(('Week 1'!E15)*('Week 1'!F15)*('Week 1'!G15)), "")</f>
        <v>4410</v>
      </c>
      <c r="C16" s="102">
        <f>IFERROR(SUMPRODUCT(('Week 2'!E9)*('Week 2'!F9)*('Week 2'!G9))+SUMPRODUCT(('Week 2'!E13)*('Week 2'!F13)*('Week 2'!G13))+SUMPRODUCT(('Week 2'!E14)*('Week 2'!F14)*('Week 2'!G14))+SUMPRODUCT(('Week 2'!E15)*('Week 2'!F15)*('Week 2'!G15)), "")</f>
        <v>0</v>
      </c>
      <c r="D16" s="102">
        <f>IFERROR(SUMPRODUCT(('Week 3'!E9)*('Week 3'!F9)*('Week 3'!G9))+SUMPRODUCT(('Week 3'!E13)*('Week 3'!F13)*('Week 3'!G13))+SUMPRODUCT(('Week 3'!E14)*('Week 3'!F14)*('Week 3'!G14))+SUMPRODUCT(('Week 3'!E15)*('Week 3'!F15)*('Week 3'!G15)), "")</f>
        <v>0</v>
      </c>
      <c r="E16" s="102">
        <f>IFERROR(SUMPRODUCT(('Week 4'!E9)*('Week 4'!F9)*('Week 4'!G9))+SUMPRODUCT(('Week 4'!E13)*('Week 4'!F13)*('Week 4'!G13))+SUMPRODUCT(('Week 4'!E14)*('Week 4'!F14)*('Week 4'!G14))+SUMPRODUCT(('Week 4'!E15)*('Week 4'!F15)*('Week 4'!G15)), "")</f>
        <v>0</v>
      </c>
      <c r="F16" s="102">
        <f>IFERROR(SUMPRODUCT(('Week 5'!E9)*('Week 5'!F9)*('Week 5'!G9))+SUMPRODUCT(('Week 5'!E13)*('Week 5'!F13)*('Week 5'!G13))+SUMPRODUCT(('Week 5'!E14)*('Week 5'!F14)*('Week 5'!G14))+SUMPRODUCT(('Week 5'!E15)*('Week 5'!F15)*('Week 5'!G15)), "")</f>
        <v>0</v>
      </c>
      <c r="G16" s="102">
        <f>IFERROR(SUMPRODUCT(('Week 6'!E9)*('Week 6'!F9)*('Week 6'!G9))+SUMPRODUCT(('Week 6'!E13)*('Week 6'!F13)*('Week 6'!G13))+SUMPRODUCT(('Week 6'!E14)*('Week 6'!F14)*('Week 6'!G14))+SUMPRODUCT(('Week 6'!E15)*('Week 6'!F15)*('Week 6'!G15)), "")</f>
        <v>0</v>
      </c>
      <c r="H16" s="102">
        <f>IFERROR(SUMPRODUCT(('Week 7'!E9)*('Week 7'!F9)*('Week 7'!G9))+SUMPRODUCT(('Week 7'!E13)*('Week 7'!F13)*('Week 7'!G13))+SUMPRODUCT(('Week 7'!E14)*('Week 7'!F14)*('Week 7'!G14))+SUMPRODUCT(('Week 7'!E15)*('Week 7'!F15)*('Week 7'!G15)), "")</f>
        <v>0</v>
      </c>
      <c r="I16" s="102">
        <f>IFERROR(SUMPRODUCT(('Week 8'!E9)*('Week 8'!F9)*('Week 8'!G9))+SUMPRODUCT(('Week 8'!E13)*('Week 8'!F13)*('Week 8'!G13))+SUMPRODUCT(('Week 8'!E14)*('Week 8'!F14)*('Week 8'!G14))+SUMPRODUCT(('Week 8'!E15)*('Week 8'!F15)*('Week 8'!G15)), "")</f>
        <v>0</v>
      </c>
      <c r="J16" s="102">
        <f>IFERROR(SUMPRODUCT(('Week 9'!E9)*('Week 9'!F9)*('Week 9'!G9))+SUMPRODUCT(('Week 9'!E13)*('Week 9'!F13)*('Week 9'!G13))+SUMPRODUCT(('Week 9'!E14)*('Week 9'!F14)*('Week 9'!G14))+SUMPRODUCT(('Week 9'!E15)*('Week 9'!F15)*('Week 9'!G15)), "")</f>
        <v>0</v>
      </c>
      <c r="K16" s="102">
        <f>IFERROR(SUMPRODUCT(('Week 10'!E9)*('Week 10'!F9)*('Week 10'!G9))+SUMPRODUCT(('Week 10'!E13)*('Week 10'!F13)*('Week 10'!G13))+SUMPRODUCT(('Week 10'!E14)*('Week 10'!F14)*('Week 10'!G14))+SUMPRODUCT(('Week 10'!E15)*('Week 10'!F15)*('Week 10'!G15)), "")</f>
        <v>0</v>
      </c>
      <c r="L16" s="102">
        <f>IFERROR(SUMPRODUCT(('Week 11'!E9)*('Week 11'!F9)*('Week 11'!G9))+SUMPRODUCT(('Week 11'!E13)*('Week 11'!F13)*('Week 11'!G13))+SUMPRODUCT(('Week 11'!E14)*('Week 11'!F14)*('Week 11'!G14))+SUMPRODUCT(('Week 11'!E15)*('Week 11'!F15)*('Week 11'!G15)), "")</f>
        <v>0</v>
      </c>
      <c r="M16" s="102">
        <f>IFERROR(SUMPRODUCT(('Week 12'!E9)*('Week 12'!F9)*('Week 12'!G9))+SUMPRODUCT(('Week 12'!E13)*('Week 12'!F13)*('Week 12'!G13))+SUMPRODUCT(('Week 12'!E14)*('Week 12'!F14)*('Week 12'!G14))+SUMPRODUCT(('Week 12'!E15)*('Week 12'!F15)*('Week 12'!G15)), "")</f>
        <v>0</v>
      </c>
    </row>
    <row r="17" spans="1:13" ht="13" x14ac:dyDescent="0.3">
      <c r="A17" s="91" t="s">
        <v>191</v>
      </c>
      <c r="B17" s="102">
        <f>IFERROR(SUMPRODUCT(('Week 1'!E8)*('Week 1'!F8)*('Week 1'!G8))+SUMPRODUCT(('Week 1'!E17)*('Week 1'!F17)*('Week 1'!G17))+SUMPRODUCT(('Week 1'!E18)*('Week 1'!F18)*('Week 1'!G18))+SUMPRODUCT(('Week 1'!E35)*('Week 1'!F35)*('Week 1'!G35)), "")</f>
        <v>620</v>
      </c>
      <c r="C17" s="102">
        <f>IFERROR(SUMPRODUCT(('Week 2'!E8)*('Week 2'!F8)*('Week 2'!G8))+SUMPRODUCT(('Week 2'!E17)*('Week 2'!F17)*('Week 2'!G17))+SUMPRODUCT(('Week 2'!E18)*('Week 2'!F18)*('Week 2'!G18))+SUMPRODUCT(('Week 2'!E35)*('Week 2'!F35)*('Week 2'!G35)), "")</f>
        <v>0</v>
      </c>
      <c r="D17" s="102">
        <f>IFERROR(SUMPRODUCT(('Week 3'!E8)*('Week 3'!F8)*('Week 3'!G8))+SUMPRODUCT(('Week 3'!E17)*('Week 3'!F17)*('Week 3'!G17))+SUMPRODUCT(('Week 3'!E18)*('Week 3'!F18)*('Week 3'!G18))+SUMPRODUCT(('Week 3'!E35)*('Week 3'!F35)*('Week 3'!G35)), "")</f>
        <v>0</v>
      </c>
      <c r="E17" s="102">
        <f>IFERROR(SUMPRODUCT(('Week 4'!E8)*('Week 4'!F8)*('Week 4'!G8))+SUMPRODUCT(('Week 4'!E17)*('Week 4'!F17)*('Week 4'!G17))+SUMPRODUCT(('Week 4'!E18)*('Week 4'!F18)*('Week 4'!G18))+SUMPRODUCT(('Week 4'!E35)*('Week 4'!F35)*('Week 4'!G35)), "")</f>
        <v>0</v>
      </c>
      <c r="F17" s="102">
        <f>IFERROR(SUMPRODUCT(('Week 5'!E8)*('Week 5'!F8)*('Week 5'!G8))+SUMPRODUCT(('Week 5'!E17)*('Week 5'!F17)*('Week 5'!G17))+SUMPRODUCT(('Week 5'!E18)*('Week 5'!F18)*('Week 5'!G18))+SUMPRODUCT(('Week 5'!E35)*('Week 5'!F35)*('Week 5'!G35)), "")</f>
        <v>0</v>
      </c>
      <c r="G17" s="102">
        <f>IFERROR(SUMPRODUCT(('Week 6'!E8)*('Week 6'!F8)*('Week 6'!G8))+SUMPRODUCT(('Week 6'!E17)*('Week 6'!F17)*('Week 6'!G17))+SUMPRODUCT(('Week 6'!E18)*('Week 6'!F18)*('Week 6'!G18))+SUMPRODUCT(('Week 6'!E35)*('Week 6'!F35)*('Week 6'!G35)), "")</f>
        <v>0</v>
      </c>
      <c r="H17" s="102">
        <f>IFERROR(SUMPRODUCT(('Week 7'!E8)*('Week 7'!F8)*('Week 7'!G8))+SUMPRODUCT(('Week 7'!E17)*('Week 7'!F17)*('Week 7'!G17))+SUMPRODUCT(('Week 7'!E18)*('Week 7'!F18)*('Week 7'!G18))+SUMPRODUCT(('Week 7'!E35)*('Week 7'!F35)*('Week 7'!G35)), "")</f>
        <v>0</v>
      </c>
      <c r="I17" s="102">
        <f>IFERROR(SUMPRODUCT(('Week 8'!E8)*('Week 8'!F8)*('Week 8'!G8))+SUMPRODUCT(('Week 8'!E17)*('Week 8'!F17)*('Week 8'!G17))+SUMPRODUCT(('Week 8'!E18)*('Week 8'!F18)*('Week 8'!G18))+SUMPRODUCT(('Week 8'!E35)*('Week 8'!F35)*('Week 8'!G35)), "")</f>
        <v>0</v>
      </c>
      <c r="J17" s="102">
        <f>IFERROR(SUMPRODUCT(('Week 9'!E8)*('Week 9'!F8)*('Week 9'!G8))+SUMPRODUCT(('Week 9'!E17)*('Week 9'!F17)*('Week 9'!G17))+SUMPRODUCT(('Week 9'!E18)*('Week 9'!F18)*('Week 9'!G18))+SUMPRODUCT(('Week 9'!E35)*('Week 9'!F35)*('Week 9'!G35)), "")</f>
        <v>0</v>
      </c>
      <c r="K17" s="102">
        <f>IFERROR(SUMPRODUCT(('Week 10'!E8)*('Week 10'!F8)*('Week 10'!G8))+SUMPRODUCT(('Week 10'!E17)*('Week 10'!F17)*('Week 10'!G17))+SUMPRODUCT(('Week 10'!E18)*('Week 10'!F18)*('Week 10'!G18))+SUMPRODUCT(('Week 10'!E35)*('Week 10'!F35)*('Week 10'!G35)), "")</f>
        <v>0</v>
      </c>
      <c r="L17" s="102">
        <f>IFERROR(SUMPRODUCT(('Week 11'!E8)*('Week 11'!F8)*('Week 11'!G8))+SUMPRODUCT(('Week 11'!E17)*('Week 11'!F17)*('Week 11'!G17))+SUMPRODUCT(('Week 11'!E18)*('Week 11'!F18)*('Week 11'!G18))+SUMPRODUCT(('Week 11'!E35)*('Week 11'!F35)*('Week 11'!G35)), "")</f>
        <v>0</v>
      </c>
      <c r="M17" s="102">
        <f>IFERROR(SUMPRODUCT(('Week 12'!E8)*('Week 12'!F8)*('Week 12'!G8))+SUMPRODUCT(('Week 12'!E17)*('Week 12'!F17)*('Week 12'!G17))+SUMPRODUCT(('Week 12'!E18)*('Week 12'!F18)*('Week 12'!G18))+SUMPRODUCT(('Week 12'!E35)*('Week 12'!F35)*('Week 12'!G35)), "")</f>
        <v>0</v>
      </c>
    </row>
    <row r="18" spans="1:13" ht="13" x14ac:dyDescent="0.3">
      <c r="A18" s="91" t="s">
        <v>192</v>
      </c>
      <c r="B18" s="102">
        <f>IFERROR(SUMPRODUCT(('Week 1'!E28)*('Week 1'!F28)*('Week 1'!G28))+SUMPRODUCT(('Week 1'!E30)*('Week 1'!F30)*('Week 1'!G30))+SUMPRODUCT(('Week 1'!E34)*('Week 1'!F34)*('Week 1'!G34)), "")</f>
        <v>1475</v>
      </c>
      <c r="C18" s="102">
        <f>IFERROR(SUMPRODUCT(('Week 2'!E28)*('Week 2'!F28)*('Week 2'!G28))+SUMPRODUCT(('Week 2'!E30)*('Week 2'!F30)*('Week 2'!G30))+SUMPRODUCT(('Week 2'!E34)*('Week 2'!F34)*('Week 2'!G34)), "")</f>
        <v>0</v>
      </c>
      <c r="D18" s="102">
        <f>IFERROR(SUMPRODUCT(('Week 3'!E28)*('Week 3'!F28)*('Week 3'!G28))+SUMPRODUCT(('Week 3'!E30)*('Week 3'!F30)*('Week 3'!G30))+SUMPRODUCT(('Week 3'!E34)*('Week 3'!F34)*('Week 3'!G34)), "")</f>
        <v>0</v>
      </c>
      <c r="E18" s="102">
        <f>IFERROR(SUMPRODUCT(('Week 4'!E28)*('Week 4'!F28)*('Week 4'!G28))+SUMPRODUCT(('Week 4'!E30)*('Week 4'!F30)*('Week 4'!G30))+SUMPRODUCT(('Week 4'!E34)*('Week 4'!F34)*('Week 4'!G34)), "")</f>
        <v>0</v>
      </c>
      <c r="F18" s="102">
        <f>IFERROR(SUMPRODUCT(('Week 5'!E28)*('Week 5'!F28)*('Week 5'!G28))+SUMPRODUCT(('Week 5'!E30)*('Week 5'!F30)*('Week 5'!G30))+SUMPRODUCT(('Week 5'!E34)*('Week 5'!F34)*('Week 5'!G34)), "")</f>
        <v>0</v>
      </c>
      <c r="G18" s="102">
        <f>IFERROR(SUMPRODUCT(('Week 6'!E28)*('Week 6'!F28)*('Week 6'!G28))+SUMPRODUCT(('Week 6'!E30)*('Week 6'!F30)*('Week 6'!G30))+SUMPRODUCT(('Week 6'!E34)*('Week 6'!F34)*('Week 6'!G34)), "")</f>
        <v>0</v>
      </c>
      <c r="H18" s="102">
        <f>IFERROR(SUMPRODUCT(('Week 7'!E28)*('Week 7'!F28)*('Week 7'!G28))+SUMPRODUCT(('Week 7'!E30)*('Week 7'!F30)*('Week 7'!G30))+SUMPRODUCT(('Week 7'!E34)*('Week 7'!F34)*('Week 7'!G34)), "")</f>
        <v>0</v>
      </c>
      <c r="I18" s="102">
        <f>IFERROR(SUMPRODUCT(('Week 8'!E28)*('Week 8'!F28)*('Week 8'!G28))+SUMPRODUCT(('Week 8'!E30)*('Week 8'!F30)*('Week 8'!G30))+SUMPRODUCT(('Week 8'!E34)*('Week 8'!F34)*('Week 8'!G34)), "")</f>
        <v>0</v>
      </c>
      <c r="J18" s="102">
        <f>IFERROR(SUMPRODUCT(('Week 9'!E28)*('Week 9'!F28)*('Week 9'!G28))+SUMPRODUCT(('Week 9'!E30)*('Week 9'!F30)*('Week 9'!G30))+SUMPRODUCT(('Week 9'!E34)*('Week 9'!F34)*('Week 9'!G34)), "")</f>
        <v>0</v>
      </c>
      <c r="K18" s="102">
        <f>IFERROR(SUMPRODUCT(('Week 10'!E28)*('Week 10'!F28)*('Week 10'!G28))+SUMPRODUCT(('Week 10'!E30)*('Week 10'!F30)*('Week 10'!G30))+SUMPRODUCT(('Week 10'!E34)*('Week 10'!F34)*('Week 10'!G34)), "")</f>
        <v>0</v>
      </c>
      <c r="L18" s="102">
        <f>IFERROR(SUMPRODUCT(('Week 11'!E28)*('Week 11'!F28)*('Week 11'!G28))+SUMPRODUCT(('Week 11'!E30)*('Week 11'!F30)*('Week 11'!G30))+SUMPRODUCT(('Week 11'!E34)*('Week 11'!F34)*('Week 11'!G34)), "")</f>
        <v>0</v>
      </c>
      <c r="M18" s="102">
        <f>IFERROR(SUMPRODUCT(('Week 12'!E28)*('Week 12'!F28)*('Week 12'!G28))+SUMPRODUCT(('Week 12'!E30)*('Week 12'!F30)*('Week 12'!G30))+SUMPRODUCT(('Week 12'!E34)*('Week 12'!F34)*('Week 12'!G34)), "")</f>
        <v>0</v>
      </c>
    </row>
    <row r="19" spans="1:13" ht="13" x14ac:dyDescent="0.3">
      <c r="A19" s="91" t="s">
        <v>193</v>
      </c>
      <c r="B19" s="102">
        <f>IFERROR(SUMPRODUCT(('Week 1'!E29)*('Week 1'!F29)*('Week 1'!G29))+SUMPRODUCT(('Week 1'!E31)*('Week 1'!F31)*('Week 1'!G31)), "")</f>
        <v>670</v>
      </c>
      <c r="C19" s="102">
        <f>IFERROR(SUMPRODUCT(('Week 2'!E29)*('Week 2'!F29)*('Week 2'!G29))+SUMPRODUCT(('Week 2'!E31)*('Week 2'!F31)*('Week 2'!G31)), "")</f>
        <v>0</v>
      </c>
      <c r="D19" s="102">
        <f>IFERROR(SUMPRODUCT(('Week 3'!E29)*('Week 3'!F29)*('Week 3'!G29))+SUMPRODUCT(('Week 3'!E31)*('Week 3'!F31)*('Week 3'!G31)), "")</f>
        <v>0</v>
      </c>
      <c r="E19" s="102">
        <f>IFERROR(SUMPRODUCT(('Week 4'!E29)*('Week 4'!F29)*('Week 4'!G29))+SUMPRODUCT(('Week 4'!E31)*('Week 4'!F31)*('Week 4'!G31)), "")</f>
        <v>0</v>
      </c>
      <c r="F19" s="102">
        <f>IFERROR(SUMPRODUCT(('Week 5'!E29)*('Week 5'!F29)*('Week 5'!G29))+SUMPRODUCT(('Week 5'!E31)*('Week 5'!F31)*('Week 5'!G31)), "")</f>
        <v>0</v>
      </c>
      <c r="G19" s="102">
        <f>IFERROR(SUMPRODUCT(('Week 6'!E29)*('Week 6'!F29)*('Week 6'!G29))+SUMPRODUCT(('Week 6'!E31)*('Week 6'!F31)*('Week 6'!G31)), "")</f>
        <v>0</v>
      </c>
      <c r="H19" s="102">
        <f>IFERROR(SUMPRODUCT(('Week 7'!E29)*('Week 7'!F29)*('Week 7'!G29))+SUMPRODUCT(('Week 7'!E31)*('Week 7'!F31)*('Week 7'!G31)), "")</f>
        <v>0</v>
      </c>
      <c r="I19" s="102">
        <f>IFERROR(SUMPRODUCT(('Week 8'!E29)*('Week 8'!F29)*('Week 8'!G29))+SUMPRODUCT(('Week 8'!E31)*('Week 8'!F31)*('Week 8'!G31)), "")</f>
        <v>0</v>
      </c>
      <c r="J19" s="102">
        <f>IFERROR(SUMPRODUCT(('Week 9'!E29)*('Week 9'!F29)*('Week 9'!G29))+SUMPRODUCT(('Week 9'!E31)*('Week 9'!F31)*('Week 9'!G31)), "")</f>
        <v>0</v>
      </c>
      <c r="K19" s="102">
        <f>IFERROR(SUMPRODUCT(('Week 10'!E29)*('Week 10'!F29)*('Week 10'!G29))+SUMPRODUCT(('Week 10'!E31)*('Week 10'!F31)*('Week 10'!G31)), "")</f>
        <v>0</v>
      </c>
      <c r="L19" s="102">
        <f>IFERROR(SUMPRODUCT(('Week 11'!E29)*('Week 11'!F29)*('Week 11'!G29))+SUMPRODUCT(('Week 11'!E31)*('Week 11'!F31)*('Week 11'!G31)), "")</f>
        <v>0</v>
      </c>
      <c r="M19" s="102">
        <f>IFERROR(SUMPRODUCT(('Week 12'!E29)*('Week 12'!F29)*('Week 12'!G29))+SUMPRODUCT(('Week 12'!E31)*('Week 12'!F31)*('Week 12'!G31)), "")</f>
        <v>0</v>
      </c>
    </row>
    <row r="20" spans="1:13" ht="13" x14ac:dyDescent="0.3">
      <c r="A20" s="91" t="s">
        <v>194</v>
      </c>
      <c r="B20" s="102">
        <f>IFERROR(SUMPRODUCT(('Week 1'!E10)*('Week 1'!F10)*('Week 1'!G10))+SUMPRODUCT(('Week 1'!E25)*('Week 1'!F25)*('Week 1'!G25)), "")</f>
        <v>2880</v>
      </c>
      <c r="C20" s="102">
        <f>IFERROR(SUMPRODUCT(('Week 2'!E10)*('Week 2'!F10)*('Week 2'!G10))+SUMPRODUCT(('Week 2'!E25)*('Week 2'!F25)*('Week 2'!G25)), "")</f>
        <v>0</v>
      </c>
      <c r="D20" s="102">
        <f>IFERROR(SUMPRODUCT(('Week 3'!E10)*('Week 3'!F10)*('Week 3'!G10))+SUMPRODUCT(('Week 3'!E25)*('Week 3'!F25)*('Week 3'!G25)), "")</f>
        <v>0</v>
      </c>
      <c r="E20" s="102">
        <f>IFERROR(SUMPRODUCT(('Week 4'!E10)*('Week 4'!F10)*('Week 4'!G10))+SUMPRODUCT(('Week 4'!E25)*('Week 4'!F25)*('Week 4'!G25)), "")</f>
        <v>0</v>
      </c>
      <c r="F20" s="102">
        <f>IFERROR(SUMPRODUCT(('Week 5'!E10)*('Week 5'!F10)*('Week 5'!G10))+SUMPRODUCT(('Week 5'!E25)*('Week 5'!F25)*('Week 5'!G25)), "")</f>
        <v>0</v>
      </c>
      <c r="G20" s="102">
        <f>IFERROR(SUMPRODUCT(('Week 6'!E10)*('Week 6'!F10)*('Week 6'!G10))+SUMPRODUCT(('Week 6'!E25)*('Week 6'!F25)*('Week 6'!G25)), "")</f>
        <v>0</v>
      </c>
      <c r="H20" s="102">
        <f>IFERROR(SUMPRODUCT(('Week 7'!E10)*('Week 7'!F10)*('Week 7'!G10))+SUMPRODUCT(('Week 7'!E25)*('Week 7'!F25)*('Week 7'!G25)), "")</f>
        <v>0</v>
      </c>
      <c r="I20" s="102">
        <f>IFERROR(SUMPRODUCT(('Week 8'!E10)*('Week 8'!F10)*('Week 8'!G10))+SUMPRODUCT(('Week 8'!E25)*('Week 8'!F25)*('Week 8'!G25)), "")</f>
        <v>0</v>
      </c>
      <c r="J20" s="102">
        <f>IFERROR(SUMPRODUCT(('Week 9'!E10)*('Week 9'!F10)*('Week 9'!G10))+SUMPRODUCT(('Week 9'!E25)*('Week 9'!F25)*('Week 9'!G25)), "")</f>
        <v>0</v>
      </c>
      <c r="K20" s="102">
        <f>IFERROR(SUMPRODUCT(('Week 10'!E10)*('Week 10'!F10)*('Week 10'!G10))+SUMPRODUCT(('Week 10'!E25)*('Week 10'!F25)*('Week 10'!G25)), "")</f>
        <v>0</v>
      </c>
      <c r="L20" s="102">
        <f>IFERROR(SUMPRODUCT(('Week 11'!E10)*('Week 11'!F10)*('Week 11'!G10))+SUMPRODUCT(('Week 11'!E25)*('Week 11'!F25)*('Week 11'!G25)), "")</f>
        <v>0</v>
      </c>
      <c r="M20" s="102">
        <f>IFERROR(SUMPRODUCT(('Week 12'!E10)*('Week 12'!F10)*('Week 12'!G10))+SUMPRODUCT(('Week 12'!E25)*('Week 12'!F25)*('Week 12'!G25)), "")</f>
        <v>0</v>
      </c>
    </row>
    <row r="21" spans="1:13" ht="13" x14ac:dyDescent="0.3">
      <c r="A21" s="174" t="s">
        <v>195</v>
      </c>
      <c r="B21" s="175"/>
      <c r="C21" s="175"/>
      <c r="D21" s="175"/>
      <c r="E21" s="175"/>
      <c r="F21" s="175"/>
      <c r="G21" s="175"/>
      <c r="H21" s="175"/>
      <c r="I21" s="175"/>
      <c r="J21" s="175"/>
      <c r="K21" s="175"/>
      <c r="L21" s="175"/>
      <c r="M21" s="175"/>
    </row>
    <row r="23" spans="1:13" ht="18" x14ac:dyDescent="0.4">
      <c r="A23" s="181" t="s">
        <v>196</v>
      </c>
      <c r="B23" s="175"/>
      <c r="C23" s="175"/>
      <c r="D23" s="175"/>
      <c r="E23" s="175"/>
      <c r="F23" s="175"/>
      <c r="G23" s="175"/>
      <c r="H23" s="175"/>
      <c r="I23" s="175"/>
      <c r="J23" s="175"/>
      <c r="K23" s="175"/>
      <c r="L23" s="175"/>
      <c r="M23" s="175"/>
    </row>
    <row r="24" spans="1:13" ht="35" customHeight="1" x14ac:dyDescent="0.3">
      <c r="A24" s="180" t="s">
        <v>197</v>
      </c>
      <c r="B24" s="148"/>
      <c r="C24" s="148"/>
      <c r="D24" s="148"/>
      <c r="E24" s="148"/>
      <c r="F24" s="148"/>
      <c r="G24" s="148"/>
      <c r="H24" s="148"/>
      <c r="I24" s="148"/>
      <c r="J24" s="148"/>
      <c r="K24" s="148"/>
      <c r="L24" s="148"/>
      <c r="M24" s="148"/>
    </row>
    <row r="26" spans="1:13" ht="13" x14ac:dyDescent="0.3">
      <c r="A26" s="96" t="s">
        <v>198</v>
      </c>
      <c r="B26" s="96" t="s">
        <v>174</v>
      </c>
      <c r="C26" s="96" t="s">
        <v>175</v>
      </c>
      <c r="D26" s="96" t="s">
        <v>176</v>
      </c>
      <c r="E26" s="96" t="s">
        <v>177</v>
      </c>
      <c r="F26" s="96" t="s">
        <v>178</v>
      </c>
      <c r="G26" s="96" t="s">
        <v>179</v>
      </c>
      <c r="H26" s="96" t="s">
        <v>180</v>
      </c>
      <c r="I26" s="96" t="s">
        <v>181</v>
      </c>
      <c r="J26" s="96" t="s">
        <v>182</v>
      </c>
      <c r="K26" s="96" t="s">
        <v>183</v>
      </c>
      <c r="L26" s="96" t="s">
        <v>184</v>
      </c>
      <c r="M26" s="96" t="s">
        <v>185</v>
      </c>
    </row>
    <row r="27" spans="1:13" ht="13" x14ac:dyDescent="0.3">
      <c r="A27" s="91" t="s">
        <v>45</v>
      </c>
      <c r="B27">
        <f>IFERROR(IF('Week 1'!F6&lt;&gt;"", 'Week 1'!F6*(1+'Week 1'!G6/30), ""), "")</f>
        <v>88.666666666666657</v>
      </c>
      <c r="C27" t="str">
        <f>IFERROR(IF('Week 2'!F6&lt;&gt;"", 'Week 2'!F6*(1+'Week 2'!G6/30), ""), "")</f>
        <v/>
      </c>
      <c r="D27" t="str">
        <f>IFERROR(IF('Week 3'!F6&lt;&gt;"", 'Week 3'!F6*(1+'Week 3'!G6/30), ""), "")</f>
        <v/>
      </c>
      <c r="E27" t="str">
        <f>IFERROR(IF('Week 4'!F6&lt;&gt;"", 'Week 4'!F6*(1+'Week 4'!G6/30), ""), "")</f>
        <v/>
      </c>
      <c r="F27" t="str">
        <f>IFERROR(IF('Week 5'!F6&lt;&gt;"", 'Week 5'!F6*(1+'Week 5'!G6/30), ""), "")</f>
        <v/>
      </c>
      <c r="G27" t="str">
        <f>IFERROR(IF('Week 6'!F6&lt;&gt;"", 'Week 6'!F6*(1+'Week 6'!G6/30), ""), "")</f>
        <v/>
      </c>
      <c r="H27" t="str">
        <f>IFERROR(IF('Week 7'!F6&lt;&gt;"", 'Week 7'!F6*(1+'Week 7'!G6/30), ""), "")</f>
        <v/>
      </c>
      <c r="I27" t="str">
        <f>IFERROR(IF('Week 8'!F6&lt;&gt;"", 'Week 8'!F6*(1+'Week 8'!G6/30), ""), "")</f>
        <v/>
      </c>
      <c r="J27" t="str">
        <f>IFERROR(IF('Week 9'!F6&lt;&gt;"", 'Week 9'!F6*(1+'Week 9'!G6/30), ""), "")</f>
        <v/>
      </c>
      <c r="K27" t="str">
        <f>IFERROR(IF('Week 10'!F6&lt;&gt;"", 'Week 10'!F6*(1+'Week 10'!G6/30), ""), "")</f>
        <v/>
      </c>
      <c r="L27" t="str">
        <f>IFERROR(IF('Week 11'!F6&lt;&gt;"", 'Week 11'!F6*(1+'Week 11'!G6/30), ""), "")</f>
        <v/>
      </c>
      <c r="M27" t="str">
        <f>IFERROR(IF('Week 12'!F6&lt;&gt;"", 'Week 12'!F6*(1+'Week 12'!G6/30), ""), "")</f>
        <v/>
      </c>
    </row>
    <row r="28" spans="1:13" ht="13" x14ac:dyDescent="0.3">
      <c r="A28" s="91" t="s">
        <v>24</v>
      </c>
      <c r="B28">
        <f>IFERROR(IF('Week 1'!F7&lt;&gt;"", 'Week 1'!F7*(1+'Week 1'!G7/30), ""), "")</f>
        <v>31.666666666666664</v>
      </c>
      <c r="C28" t="str">
        <f>IFERROR(IF('Week 2'!F7&lt;&gt;"", 'Week 2'!F7*(1+'Week 2'!G7/30), ""), "")</f>
        <v/>
      </c>
      <c r="D28" t="str">
        <f>IFERROR(IF('Week 3'!F7&lt;&gt;"", 'Week 3'!F7*(1+'Week 3'!G7/30), ""), "")</f>
        <v/>
      </c>
      <c r="E28" t="str">
        <f>IFERROR(IF('Week 4'!F7&lt;&gt;"", 'Week 4'!F7*(1+'Week 4'!G7/30), ""), "")</f>
        <v/>
      </c>
      <c r="F28" t="str">
        <f>IFERROR(IF('Week 5'!F7&lt;&gt;"", 'Week 5'!F7*(1+'Week 5'!G7/30), ""), "")</f>
        <v/>
      </c>
      <c r="G28" t="str">
        <f>IFERROR(IF('Week 6'!F7&lt;&gt;"", 'Week 6'!F7*(1+'Week 6'!G7/30), ""), "")</f>
        <v/>
      </c>
      <c r="H28" t="str">
        <f>IFERROR(IF('Week 7'!F7&lt;&gt;"", 'Week 7'!F7*(1+'Week 7'!G7/30), ""), "")</f>
        <v/>
      </c>
      <c r="I28" t="str">
        <f>IFERROR(IF('Week 8'!F7&lt;&gt;"", 'Week 8'!F7*(1+'Week 8'!G7/30), ""), "")</f>
        <v/>
      </c>
      <c r="J28" t="str">
        <f>IFERROR(IF('Week 9'!F7&lt;&gt;"", 'Week 9'!F7*(1+'Week 9'!G7/30), ""), "")</f>
        <v/>
      </c>
      <c r="K28" t="str">
        <f>IFERROR(IF('Week 10'!F7&lt;&gt;"", 'Week 10'!F7*(1+'Week 10'!G7/30), ""), "")</f>
        <v/>
      </c>
      <c r="L28" t="str">
        <f>IFERROR(IF('Week 11'!F7&lt;&gt;"", 'Week 11'!F7*(1+'Week 11'!G7/30), ""), "")</f>
        <v/>
      </c>
      <c r="M28" t="str">
        <f>IFERROR(IF('Week 12'!F7&lt;&gt;"", 'Week 12'!F7*(1+'Week 12'!G7/30), ""), "")</f>
        <v/>
      </c>
    </row>
    <row r="29" spans="1:13" ht="13" x14ac:dyDescent="0.3">
      <c r="A29" s="91" t="s">
        <v>82</v>
      </c>
      <c r="B29">
        <f>IFERROR(IF('Week 1'!F22&lt;&gt;"", 'Week 1'!F22*(1+'Week 1'!G22/30), ""), "")</f>
        <v>93.333333333333329</v>
      </c>
      <c r="C29" t="str">
        <f>IFERROR(IF('Week 2'!F22&lt;&gt;"", 'Week 2'!F22*(1+'Week 2'!G22/30), ""), "")</f>
        <v/>
      </c>
      <c r="D29" t="str">
        <f>IFERROR(IF('Week 3'!F22&lt;&gt;"", 'Week 3'!F22*(1+'Week 3'!G22/30), ""), "")</f>
        <v/>
      </c>
      <c r="E29" t="str">
        <f>IFERROR(IF('Week 4'!F22&lt;&gt;"", 'Week 4'!F22*(1+'Week 4'!G22/30), ""), "")</f>
        <v/>
      </c>
      <c r="F29" t="str">
        <f>IFERROR(IF('Week 5'!F22&lt;&gt;"", 'Week 5'!F22*(1+'Week 5'!G22/30), ""), "")</f>
        <v/>
      </c>
      <c r="G29" t="str">
        <f>IFERROR(IF('Week 6'!F22&lt;&gt;"", 'Week 6'!F22*(1+'Week 6'!G22/30), ""), "")</f>
        <v/>
      </c>
      <c r="H29" t="str">
        <f>IFERROR(IF('Week 7'!F22&lt;&gt;"", 'Week 7'!F22*(1+'Week 7'!G22/30), ""), "")</f>
        <v/>
      </c>
      <c r="I29" t="str">
        <f>IFERROR(IF('Week 8'!F22&lt;&gt;"", 'Week 8'!F22*(1+'Week 8'!G22/30), ""), "")</f>
        <v/>
      </c>
      <c r="J29" t="str">
        <f>IFERROR(IF('Week 9'!F22&lt;&gt;"", 'Week 9'!F22*(1+'Week 9'!G22/30), ""), "")</f>
        <v/>
      </c>
      <c r="K29" t="str">
        <f>IFERROR(IF('Week 10'!F22&lt;&gt;"", 'Week 10'!F22*(1+'Week 10'!G22/30), ""), "")</f>
        <v/>
      </c>
      <c r="L29" t="str">
        <f>IFERROR(IF('Week 11'!F22&lt;&gt;"", 'Week 11'!F22*(1+'Week 11'!G22/30), ""), "")</f>
        <v/>
      </c>
      <c r="M29" t="str">
        <f>IFERROR(IF('Week 12'!F22&lt;&gt;"", 'Week 12'!F22*(1+'Week 12'!G22/30), ""), "")</f>
        <v/>
      </c>
    </row>
    <row r="30" spans="1:13" ht="13" x14ac:dyDescent="0.3">
      <c r="A30" s="91" t="s">
        <v>90</v>
      </c>
      <c r="B30" t="str">
        <f>IFERROR(IF('Week 1'!F24&lt;&gt;"", 'Week 1'!F24*(1+'Week 1'!G24/30), ""), "")</f>
        <v/>
      </c>
      <c r="C30" t="str">
        <f>IFERROR(IF('Week 2'!F24&lt;&gt;"", 'Week 2'!F24*(1+'Week 2'!G24/30), ""), "")</f>
        <v/>
      </c>
      <c r="D30" t="str">
        <f>IFERROR(IF('Week 3'!F24&lt;&gt;"", 'Week 3'!F24*(1+'Week 3'!G24/30), ""), "")</f>
        <v/>
      </c>
      <c r="E30" t="str">
        <f>IFERROR(IF('Week 4'!F24&lt;&gt;"", 'Week 4'!F24*(1+'Week 4'!G24/30), ""), "")</f>
        <v/>
      </c>
      <c r="F30" t="str">
        <f>IFERROR(IF('Week 5'!F24&lt;&gt;"", 'Week 5'!F24*(1+'Week 5'!G24/30), ""), "")</f>
        <v/>
      </c>
      <c r="G30" t="str">
        <f>IFERROR(IF('Week 6'!F24&lt;&gt;"", 'Week 6'!F24*(1+'Week 6'!G24/30), ""), "")</f>
        <v/>
      </c>
      <c r="H30" t="str">
        <f>IFERROR(IF('Week 7'!F24&lt;&gt;"", 'Week 7'!F24*(1+'Week 7'!G24/30), ""), "")</f>
        <v/>
      </c>
      <c r="I30" t="str">
        <f>IFERROR(IF('Week 8'!F24&lt;&gt;"", 'Week 8'!F24*(1+'Week 8'!G24/30), ""), "")</f>
        <v/>
      </c>
      <c r="J30" t="str">
        <f>IFERROR(IF('Week 9'!F24&lt;&gt;"", 'Week 9'!F24*(1+'Week 9'!G24/30), ""), "")</f>
        <v/>
      </c>
      <c r="K30" t="str">
        <f>IFERROR(IF('Week 10'!F24&lt;&gt;"", 'Week 10'!F24*(1+'Week 10'!G24/30), ""), "")</f>
        <v/>
      </c>
      <c r="L30" t="str">
        <f>IFERROR(IF('Week 11'!F24&lt;&gt;"", 'Week 11'!F24*(1+'Week 11'!G24/30), ""), "")</f>
        <v/>
      </c>
      <c r="M30" t="str">
        <f>IFERROR(IF('Week 12'!F24&lt;&gt;"", 'Week 12'!F24*(1+'Week 12'!G24/30), ""), "")</f>
        <v/>
      </c>
    </row>
    <row r="31" spans="1:13" ht="13" x14ac:dyDescent="0.3">
      <c r="A31" s="91" t="s">
        <v>36</v>
      </c>
      <c r="B31">
        <f>IFERROR(IF('Week 1'!F9&lt;&gt;"", 'Week 1'!F9*(1+'Week 1'!G9/30), ""), "")</f>
        <v>88.666666666666657</v>
      </c>
      <c r="C31" t="str">
        <f>IFERROR(IF('Week 2'!F9&lt;&gt;"", 'Week 2'!F9*(1+'Week 2'!G9/30), ""), "")</f>
        <v/>
      </c>
      <c r="D31" t="str">
        <f>IFERROR(IF('Week 3'!F9&lt;&gt;"", 'Week 3'!F9*(1+'Week 3'!G9/30), ""), "")</f>
        <v/>
      </c>
      <c r="E31" t="str">
        <f>IFERROR(IF('Week 4'!F9&lt;&gt;"", 'Week 4'!F9*(1+'Week 4'!G9/30), ""), "")</f>
        <v/>
      </c>
      <c r="F31" t="str">
        <f>IFERROR(IF('Week 5'!F9&lt;&gt;"", 'Week 5'!F9*(1+'Week 5'!G9/30), ""), "")</f>
        <v/>
      </c>
      <c r="G31" t="str">
        <f>IFERROR(IF('Week 6'!F9&lt;&gt;"", 'Week 6'!F9*(1+'Week 6'!G9/30), ""), "")</f>
        <v/>
      </c>
      <c r="H31" t="str">
        <f>IFERROR(IF('Week 7'!F9&lt;&gt;"", 'Week 7'!F9*(1+'Week 7'!G9/30), ""), "")</f>
        <v/>
      </c>
      <c r="I31" t="str">
        <f>IFERROR(IF('Week 8'!F9&lt;&gt;"", 'Week 8'!F9*(1+'Week 8'!G9/30), ""), "")</f>
        <v/>
      </c>
      <c r="J31" t="str">
        <f>IFERROR(IF('Week 9'!F9&lt;&gt;"", 'Week 9'!F9*(1+'Week 9'!G9/30), ""), "")</f>
        <v/>
      </c>
      <c r="K31" t="str">
        <f>IFERROR(IF('Week 10'!F9&lt;&gt;"", 'Week 10'!F9*(1+'Week 10'!G9/30), ""), "")</f>
        <v/>
      </c>
      <c r="L31" t="str">
        <f>IFERROR(IF('Week 11'!F9&lt;&gt;"", 'Week 11'!F9*(1+'Week 11'!G9/30), ""), "")</f>
        <v/>
      </c>
      <c r="M31" t="str">
        <f>IFERROR(IF('Week 12'!F9&lt;&gt;"", 'Week 12'!F9*(1+'Week 12'!G9/30), ""), "")</f>
        <v/>
      </c>
    </row>
    <row r="32" spans="1:13" ht="13" x14ac:dyDescent="0.3">
      <c r="A32" s="174" t="s">
        <v>199</v>
      </c>
      <c r="B32" s="175"/>
      <c r="C32" s="175"/>
      <c r="D32" s="175"/>
      <c r="E32" s="175"/>
      <c r="F32" s="175"/>
      <c r="G32" s="175"/>
      <c r="H32" s="175"/>
      <c r="I32" s="175"/>
      <c r="J32" s="175"/>
      <c r="K32" s="175"/>
      <c r="L32" s="175"/>
      <c r="M32" s="175"/>
    </row>
    <row r="34" spans="1:13" ht="18" x14ac:dyDescent="0.4">
      <c r="A34" s="182" t="s">
        <v>200</v>
      </c>
      <c r="B34" s="175"/>
      <c r="C34" s="175"/>
      <c r="D34" s="175"/>
      <c r="E34" s="175"/>
      <c r="F34" s="175"/>
      <c r="G34" s="175"/>
      <c r="H34" s="175"/>
      <c r="I34" s="175"/>
      <c r="J34" s="175"/>
      <c r="K34" s="175"/>
      <c r="L34" s="175"/>
      <c r="M34" s="175"/>
    </row>
    <row r="35" spans="1:13" ht="35" customHeight="1" x14ac:dyDescent="0.3">
      <c r="A35" s="180" t="s">
        <v>201</v>
      </c>
      <c r="B35" s="148"/>
      <c r="C35" s="148"/>
      <c r="D35" s="148"/>
      <c r="E35" s="148"/>
      <c r="F35" s="148"/>
      <c r="G35" s="148"/>
      <c r="H35" s="148"/>
      <c r="I35" s="148"/>
      <c r="J35" s="148"/>
      <c r="K35" s="148"/>
      <c r="L35" s="148"/>
      <c r="M35" s="148"/>
    </row>
    <row r="37" spans="1:13" ht="13" x14ac:dyDescent="0.3">
      <c r="A37" s="98" t="s">
        <v>7</v>
      </c>
      <c r="B37" s="98" t="s">
        <v>202</v>
      </c>
      <c r="C37" s="98" t="s">
        <v>203</v>
      </c>
      <c r="D37" s="98" t="s">
        <v>204</v>
      </c>
      <c r="E37" s="98" t="s">
        <v>205</v>
      </c>
    </row>
    <row r="38" spans="1:13" x14ac:dyDescent="0.25">
      <c r="A38" t="s">
        <v>45</v>
      </c>
      <c r="E38" t="str">
        <f>IF(AND(C38&lt;&gt;"",D38&lt;&gt;""),D38-C38,"")</f>
        <v/>
      </c>
    </row>
    <row r="39" spans="1:13" x14ac:dyDescent="0.25">
      <c r="A39" t="s">
        <v>24</v>
      </c>
      <c r="E39" t="str">
        <f>IF(AND(C39&lt;&gt;"",D39&lt;&gt;""),D39-C39,"")</f>
        <v/>
      </c>
    </row>
    <row r="40" spans="1:13" x14ac:dyDescent="0.25">
      <c r="A40" t="s">
        <v>82</v>
      </c>
      <c r="E40" t="str">
        <f>IF(AND(C40&lt;&gt;"",D40&lt;&gt;""),D40-C40,"")</f>
        <v/>
      </c>
    </row>
    <row r="41" spans="1:13" x14ac:dyDescent="0.25">
      <c r="A41" t="s">
        <v>90</v>
      </c>
      <c r="E41" t="str">
        <f>IF(AND(C41&lt;&gt;"",D41&lt;&gt;""),D41-C41,"")</f>
        <v/>
      </c>
    </row>
    <row r="42" spans="1:13" x14ac:dyDescent="0.25">
      <c r="A42" t="s">
        <v>36</v>
      </c>
      <c r="E42" t="str">
        <f>IF(AND(C42&lt;&gt;"",D42&lt;&gt;""),D42-C42,"")</f>
        <v/>
      </c>
    </row>
    <row r="43" spans="1:13" ht="13" x14ac:dyDescent="0.3">
      <c r="A43" s="183" t="s">
        <v>206</v>
      </c>
      <c r="B43" s="148"/>
      <c r="C43" s="148"/>
      <c r="D43" s="148"/>
      <c r="E43" s="148"/>
      <c r="F43" s="148"/>
      <c r="G43" s="148"/>
      <c r="H43" s="148"/>
      <c r="I43" s="148"/>
      <c r="J43" s="148"/>
      <c r="K43" s="148"/>
      <c r="L43" s="148"/>
      <c r="M43" s="148"/>
    </row>
    <row r="45" spans="1:13" ht="18" x14ac:dyDescent="0.4">
      <c r="A45" s="179" t="s">
        <v>207</v>
      </c>
      <c r="B45" s="148"/>
      <c r="C45" s="148"/>
      <c r="D45" s="148"/>
      <c r="E45" s="148"/>
      <c r="F45" s="148"/>
      <c r="G45" s="148"/>
      <c r="H45" s="148"/>
      <c r="I45" s="148"/>
      <c r="J45" s="148"/>
      <c r="K45" s="148"/>
      <c r="L45" s="148"/>
      <c r="M45" s="148"/>
    </row>
    <row r="46" spans="1:13" ht="35" customHeight="1" x14ac:dyDescent="0.3">
      <c r="A46" s="180" t="s">
        <v>208</v>
      </c>
      <c r="B46" s="148"/>
      <c r="C46" s="148"/>
      <c r="D46" s="148"/>
      <c r="E46" s="148"/>
      <c r="F46" s="148"/>
      <c r="G46" s="148"/>
      <c r="H46" s="148"/>
      <c r="I46" s="148"/>
      <c r="J46" s="148"/>
      <c r="K46" s="148"/>
      <c r="L46" s="148"/>
      <c r="M46" s="148"/>
    </row>
    <row r="48" spans="1:13" ht="13" x14ac:dyDescent="0.3">
      <c r="A48" s="97" t="s">
        <v>209</v>
      </c>
      <c r="B48" s="97" t="s">
        <v>210</v>
      </c>
      <c r="C48" s="97" t="s">
        <v>211</v>
      </c>
      <c r="D48" s="97" t="s">
        <v>212</v>
      </c>
      <c r="E48" s="97" t="s">
        <v>213</v>
      </c>
      <c r="F48" s="97" t="s">
        <v>214</v>
      </c>
    </row>
    <row r="49" spans="1:14" x14ac:dyDescent="0.25">
      <c r="A49">
        <f>IF(B6&lt;&gt;"",B6,"-")</f>
        <v>157.85</v>
      </c>
      <c r="B49" cm="1">
        <f t="array" ref="B49">IF(COUNTA(B6:M6)&gt;0,INDEX(B6:M6,1,COUNTA(B6:M6)),"-")</f>
        <v>0</v>
      </c>
      <c r="C49">
        <f>IF(AND(ISNUMBER(A49),ISNUMBER(B49)),B49-A49,"-")</f>
        <v>-157.85</v>
      </c>
      <c r="D49" s="99">
        <f>IF(AND(ISNUMBER(A49),ISNUMBER(C49)),C49/A49,"-")</f>
        <v>-1</v>
      </c>
      <c r="E49" s="100">
        <f>IF(COUNTA(B6:M6)&gt;0,AVERAGE(B6:M6),"-")</f>
        <v>13.154166666666667</v>
      </c>
      <c r="F49" t="str">
        <f>IF(COUNTA(B6:M6)&gt;0,MIN(B6:M6)&amp;" / "&amp;MAX(B6:M6),"-")</f>
        <v>0 / 157.85</v>
      </c>
    </row>
    <row r="50" spans="1:14" ht="13" x14ac:dyDescent="0.3">
      <c r="A50" s="183" t="s">
        <v>232</v>
      </c>
      <c r="B50" s="148"/>
      <c r="C50" s="148"/>
      <c r="D50" s="148"/>
      <c r="E50" s="148"/>
      <c r="F50" s="148"/>
      <c r="G50" s="148"/>
      <c r="H50" s="148"/>
      <c r="I50" s="148"/>
      <c r="J50" s="148"/>
      <c r="K50" s="148"/>
      <c r="L50" s="148"/>
      <c r="M50" s="148"/>
    </row>
    <row r="52" spans="1:14" ht="18" x14ac:dyDescent="0.4">
      <c r="A52" s="181" t="s">
        <v>215</v>
      </c>
      <c r="B52" s="148"/>
      <c r="C52" s="148"/>
      <c r="D52" s="148"/>
      <c r="E52" s="148"/>
      <c r="F52" s="148"/>
      <c r="G52" s="148"/>
      <c r="H52" s="148"/>
      <c r="I52" s="148"/>
      <c r="J52" s="148"/>
      <c r="K52" s="148"/>
      <c r="L52" s="148"/>
      <c r="M52" s="148"/>
    </row>
    <row r="53" spans="1:14" ht="35" customHeight="1" x14ac:dyDescent="0.3">
      <c r="A53" s="180" t="s">
        <v>216</v>
      </c>
      <c r="B53" s="148"/>
      <c r="C53" s="148"/>
      <c r="D53" s="148"/>
      <c r="E53" s="148"/>
      <c r="F53" s="148"/>
      <c r="G53" s="148"/>
      <c r="H53" s="148"/>
      <c r="I53" s="148"/>
      <c r="J53" s="148"/>
      <c r="K53" s="148"/>
      <c r="L53" s="148"/>
      <c r="M53" s="148"/>
    </row>
    <row r="55" spans="1:14" ht="13" x14ac:dyDescent="0.3">
      <c r="A55" s="96" t="s">
        <v>217</v>
      </c>
      <c r="B55" s="96" t="s">
        <v>174</v>
      </c>
      <c r="C55" s="96" t="s">
        <v>175</v>
      </c>
      <c r="D55" s="96" t="s">
        <v>176</v>
      </c>
      <c r="E55" s="96" t="s">
        <v>177</v>
      </c>
      <c r="F55" s="96" t="s">
        <v>178</v>
      </c>
      <c r="G55" s="96" t="s">
        <v>179</v>
      </c>
      <c r="H55" s="96" t="s">
        <v>180</v>
      </c>
      <c r="I55" s="96" t="s">
        <v>181</v>
      </c>
      <c r="J55" s="96" t="s">
        <v>182</v>
      </c>
      <c r="K55" s="96" t="s">
        <v>183</v>
      </c>
      <c r="L55" s="96" t="s">
        <v>184</v>
      </c>
      <c r="M55" s="96" t="s">
        <v>185</v>
      </c>
    </row>
    <row r="56" spans="1:14" ht="13" x14ac:dyDescent="0.3">
      <c r="A56" s="91" t="s">
        <v>218</v>
      </c>
      <c r="B56" s="101">
        <f t="shared" ref="B56:M56" si="0">IF(AND(B27&lt;&gt;"",B6&lt;&gt;""),B27/B6,"")</f>
        <v>0.56171470805617141</v>
      </c>
      <c r="C56" s="101" t="str">
        <f t="shared" si="0"/>
        <v/>
      </c>
      <c r="D56" s="101" t="str">
        <f t="shared" si="0"/>
        <v/>
      </c>
      <c r="E56" s="101" t="str">
        <f t="shared" si="0"/>
        <v/>
      </c>
      <c r="F56" s="101" t="str">
        <f t="shared" si="0"/>
        <v/>
      </c>
      <c r="G56" s="101" t="str">
        <f t="shared" si="0"/>
        <v/>
      </c>
      <c r="H56" s="101" t="str">
        <f t="shared" si="0"/>
        <v/>
      </c>
      <c r="I56" s="101" t="str">
        <f t="shared" si="0"/>
        <v/>
      </c>
      <c r="J56" s="101" t="str">
        <f t="shared" si="0"/>
        <v/>
      </c>
      <c r="K56" s="101" t="str">
        <f t="shared" si="0"/>
        <v/>
      </c>
      <c r="L56" s="101" t="str">
        <f t="shared" si="0"/>
        <v/>
      </c>
      <c r="M56" s="101" t="str">
        <f t="shared" si="0"/>
        <v/>
      </c>
    </row>
    <row r="57" spans="1:14" ht="13" x14ac:dyDescent="0.3">
      <c r="A57" s="91" t="s">
        <v>219</v>
      </c>
      <c r="B57" s="101">
        <f t="shared" ref="B57:M57" si="1">IF(AND(B28&lt;&gt;"",B6&lt;&gt;""),B28/B6,"")</f>
        <v>0.20061239573434694</v>
      </c>
      <c r="C57" s="101" t="str">
        <f t="shared" si="1"/>
        <v/>
      </c>
      <c r="D57" s="101" t="str">
        <f t="shared" si="1"/>
        <v/>
      </c>
      <c r="E57" s="101" t="str">
        <f t="shared" si="1"/>
        <v/>
      </c>
      <c r="F57" s="101" t="str">
        <f t="shared" si="1"/>
        <v/>
      </c>
      <c r="G57" s="101" t="str">
        <f t="shared" si="1"/>
        <v/>
      </c>
      <c r="H57" s="101" t="str">
        <f t="shared" si="1"/>
        <v/>
      </c>
      <c r="I57" s="101" t="str">
        <f t="shared" si="1"/>
        <v/>
      </c>
      <c r="J57" s="101" t="str">
        <f t="shared" si="1"/>
        <v/>
      </c>
      <c r="K57" s="101" t="str">
        <f t="shared" si="1"/>
        <v/>
      </c>
      <c r="L57" s="101" t="str">
        <f t="shared" si="1"/>
        <v/>
      </c>
      <c r="M57" s="101" t="str">
        <f t="shared" si="1"/>
        <v/>
      </c>
    </row>
    <row r="58" spans="1:14" ht="13" x14ac:dyDescent="0.3">
      <c r="A58" s="91" t="s">
        <v>220</v>
      </c>
      <c r="B58" s="101">
        <f t="shared" ref="B58:M58" si="2">IF(AND(B29&lt;&gt;"",B6&lt;&gt;""),B29/B6,"")</f>
        <v>0.59127864005912789</v>
      </c>
      <c r="C58" s="101" t="str">
        <f t="shared" si="2"/>
        <v/>
      </c>
      <c r="D58" s="101" t="str">
        <f t="shared" si="2"/>
        <v/>
      </c>
      <c r="E58" s="101" t="str">
        <f t="shared" si="2"/>
        <v/>
      </c>
      <c r="F58" s="101" t="str">
        <f t="shared" si="2"/>
        <v/>
      </c>
      <c r="G58" s="101" t="str">
        <f t="shared" si="2"/>
        <v/>
      </c>
      <c r="H58" s="101" t="str">
        <f t="shared" si="2"/>
        <v/>
      </c>
      <c r="I58" s="101" t="str">
        <f t="shared" si="2"/>
        <v/>
      </c>
      <c r="J58" s="101" t="str">
        <f t="shared" si="2"/>
        <v/>
      </c>
      <c r="K58" s="101" t="str">
        <f t="shared" si="2"/>
        <v/>
      </c>
      <c r="L58" s="101" t="str">
        <f t="shared" si="2"/>
        <v/>
      </c>
      <c r="M58" s="101" t="str">
        <f t="shared" si="2"/>
        <v/>
      </c>
    </row>
    <row r="59" spans="1:14" ht="13" x14ac:dyDescent="0.3">
      <c r="A59" s="91" t="s">
        <v>221</v>
      </c>
      <c r="B59" s="101">
        <f t="shared" ref="B59:M59" si="3">IF(AND(SUM(B27:B29)&gt;0,B6&lt;&gt;""),SUM(B27:B29)/B6,"")</f>
        <v>1.353605743849646</v>
      </c>
      <c r="C59" s="101" t="str">
        <f t="shared" si="3"/>
        <v/>
      </c>
      <c r="D59" s="101" t="str">
        <f t="shared" si="3"/>
        <v/>
      </c>
      <c r="E59" s="101" t="str">
        <f t="shared" si="3"/>
        <v/>
      </c>
      <c r="F59" s="101" t="str">
        <f t="shared" si="3"/>
        <v/>
      </c>
      <c r="G59" s="101" t="str">
        <f t="shared" si="3"/>
        <v/>
      </c>
      <c r="H59" s="101" t="str">
        <f t="shared" si="3"/>
        <v/>
      </c>
      <c r="I59" s="101" t="str">
        <f t="shared" si="3"/>
        <v/>
      </c>
      <c r="J59" s="101" t="str">
        <f t="shared" si="3"/>
        <v/>
      </c>
      <c r="K59" s="101" t="str">
        <f t="shared" si="3"/>
        <v/>
      </c>
      <c r="L59" s="101" t="str">
        <f t="shared" si="3"/>
        <v/>
      </c>
      <c r="M59" s="101" t="str">
        <f t="shared" si="3"/>
        <v/>
      </c>
    </row>
    <row r="60" spans="1:14" ht="13" x14ac:dyDescent="0.3">
      <c r="A60" s="174" t="s">
        <v>222</v>
      </c>
      <c r="B60" s="175"/>
      <c r="C60" s="175"/>
      <c r="D60" s="175"/>
      <c r="E60" s="175"/>
      <c r="F60" s="175"/>
      <c r="G60" s="175"/>
      <c r="H60" s="175"/>
      <c r="I60" s="175"/>
      <c r="J60" s="175"/>
      <c r="K60" s="175"/>
      <c r="L60" s="175"/>
      <c r="M60" s="175"/>
    </row>
    <row r="62" spans="1:14" ht="18" x14ac:dyDescent="0.4">
      <c r="A62" s="106" t="s">
        <v>248</v>
      </c>
    </row>
    <row r="63" spans="1:14" ht="35" customHeight="1" x14ac:dyDescent="0.3">
      <c r="A63" s="187" t="s">
        <v>278</v>
      </c>
      <c r="B63" s="188"/>
      <c r="C63" s="188"/>
      <c r="D63" s="188"/>
      <c r="E63" s="188"/>
      <c r="F63" s="188"/>
      <c r="G63" s="188"/>
      <c r="H63" s="188"/>
      <c r="I63" s="188"/>
      <c r="J63" s="188"/>
      <c r="K63" s="188"/>
      <c r="L63" s="188"/>
      <c r="M63" s="188"/>
      <c r="N63" s="188"/>
    </row>
    <row r="65" spans="1:15" ht="13" x14ac:dyDescent="0.3">
      <c r="A65" s="107" t="s">
        <v>7</v>
      </c>
      <c r="B65" s="107" t="s">
        <v>236</v>
      </c>
      <c r="C65" s="107" t="s">
        <v>237</v>
      </c>
      <c r="D65" s="107" t="s">
        <v>238</v>
      </c>
      <c r="E65" s="107" t="s">
        <v>239</v>
      </c>
      <c r="F65" s="107" t="s">
        <v>240</v>
      </c>
      <c r="G65" s="107" t="s">
        <v>241</v>
      </c>
      <c r="H65" s="107" t="s">
        <v>242</v>
      </c>
      <c r="I65" s="107" t="s">
        <v>243</v>
      </c>
      <c r="J65" s="107" t="s">
        <v>244</v>
      </c>
      <c r="K65" s="107" t="s">
        <v>245</v>
      </c>
      <c r="L65" s="107" t="s">
        <v>246</v>
      </c>
      <c r="M65" s="107" t="s">
        <v>247</v>
      </c>
      <c r="N65" s="107" t="s">
        <v>234</v>
      </c>
      <c r="O65" s="107" t="s">
        <v>249</v>
      </c>
    </row>
    <row r="66" spans="1:15" ht="13" x14ac:dyDescent="0.3">
      <c r="A66" s="109" t="s">
        <v>41</v>
      </c>
      <c r="B66" s="108" t="str">
        <f>IF(OR('Week 1'!F4=0,'Week 1'!F4=""),"",ROUND('Week 1'!F4*(1+'Week 1'!G4/30),1))</f>
        <v/>
      </c>
      <c r="C66" s="108" t="str">
        <f>IF(OR('Week 2'!F4=0,'Week 2'!F4=""),"",ROUND('Week 2'!F4*(1+'Week 2'!G4/30),1))</f>
        <v/>
      </c>
      <c r="D66" s="108" t="str">
        <f>IF(OR('Week 3'!F4=0,'Week 3'!F4=""),"",ROUND('Week 3'!F4*(1+'Week 3'!G4/30),1))</f>
        <v/>
      </c>
      <c r="E66" s="108" t="str">
        <f>IF(OR('Week 4'!F4=0,'Week 4'!F4=""),"",ROUND('Week 4'!F4*(1+'Week 4'!G4/30),1))</f>
        <v/>
      </c>
      <c r="F66" s="108" t="str">
        <f>IF(OR('Week 5'!F4=0,'Week 5'!F4=""),"",ROUND('Week 5'!F4*(1+'Week 5'!G4/30),1))</f>
        <v/>
      </c>
      <c r="G66" s="108" t="str">
        <f>IF(OR('Week 6'!F4=0,'Week 6'!F4=""),"",ROUND('Week 6'!F4*(1+'Week 6'!G4/30),1))</f>
        <v/>
      </c>
      <c r="H66" s="108" t="str">
        <f>IF(OR('Week 7'!F4=0,'Week 7'!F4=""),"",ROUND('Week 7'!F4*(1+'Week 7'!G4/30),1))</f>
        <v/>
      </c>
      <c r="I66" s="108" t="str">
        <f>IF(OR('Week 8'!F4=0,'Week 8'!F4=""),"",ROUND('Week 8'!F4*(1+'Week 8'!G4/30),1))</f>
        <v/>
      </c>
      <c r="J66" s="108" t="str">
        <f>IF(OR('Week 9'!F4=0,'Week 9'!F4=""),"",ROUND('Week 9'!F4*(1+'Week 9'!G4/30),1))</f>
        <v/>
      </c>
      <c r="K66" s="108" t="str">
        <f>IF(OR('Week 10'!F4=0,'Week 10'!F4=""),"",ROUND('Week 10'!F4*(1+'Week 10'!G4/30),1))</f>
        <v/>
      </c>
      <c r="L66" s="108" t="str">
        <f>IF(OR('Week 11'!F4=0,'Week 11'!F4=""),"",ROUND('Week 11'!F4*(1+'Week 11'!G4/30),1))</f>
        <v/>
      </c>
      <c r="M66" s="108" t="str">
        <f>IF(OR('Week 12'!F4=0,'Week 12'!F4=""),"",ROUND('Week 12'!F4*(1+'Week 12'!G4/30),1))</f>
        <v/>
      </c>
      <c r="N66" s="110" t="str">
        <f t="shared" ref="N66:N91" si="4">IF(MAX(B66:M66)=0,"",MAX(B66:M66))</f>
        <v/>
      </c>
      <c r="O66" s="111" t="str">
        <f t="shared" ref="O66:O91" si="5">IF(N66="","",MATCH(N66,B66:M66,0))</f>
        <v/>
      </c>
    </row>
    <row r="67" spans="1:15" ht="13" x14ac:dyDescent="0.3">
      <c r="A67" s="109" t="s">
        <v>148</v>
      </c>
      <c r="B67" s="108">
        <f>IF(OR('Week 1'!F5=0,'Week 1'!F5=""),"",ROUND('Week 1'!F5*(1+'Week 1'!G5/30),1))</f>
        <v>88.7</v>
      </c>
      <c r="C67" s="108" t="str">
        <f>IF(OR('Week 2'!F5=0,'Week 2'!F5=""),"",ROUND('Week 2'!F5*(1+'Week 2'!G5/30),1))</f>
        <v/>
      </c>
      <c r="D67" s="108" t="str">
        <f>IF(OR('Week 3'!F5=0,'Week 3'!F5=""),"",ROUND('Week 3'!F5*(1+'Week 3'!G5/30),1))</f>
        <v/>
      </c>
      <c r="E67" s="108" t="str">
        <f>IF(OR('Week 4'!F5=0,'Week 4'!F5=""),"",ROUND('Week 4'!F5*(1+'Week 4'!G5/30),1))</f>
        <v/>
      </c>
      <c r="F67" s="108" t="str">
        <f>IF(OR('Week 5'!F5=0,'Week 5'!F5=""),"",ROUND('Week 5'!F5*(1+'Week 5'!G5/30),1))</f>
        <v/>
      </c>
      <c r="G67" s="108" t="str">
        <f>IF(OR('Week 6'!F5=0,'Week 6'!F5=""),"",ROUND('Week 6'!F5*(1+'Week 6'!G5/30),1))</f>
        <v/>
      </c>
      <c r="H67" s="108" t="str">
        <f>IF(OR('Week 7'!F5=0,'Week 7'!F5=""),"",ROUND('Week 7'!F5*(1+'Week 7'!G5/30),1))</f>
        <v/>
      </c>
      <c r="I67" s="108" t="str">
        <f>IF(OR('Week 8'!F5=0,'Week 8'!F5=""),"",ROUND('Week 8'!F5*(1+'Week 8'!G5/30),1))</f>
        <v/>
      </c>
      <c r="J67" s="108" t="str">
        <f>IF(OR('Week 9'!F5=0,'Week 9'!F5=""),"",ROUND('Week 9'!F5*(1+'Week 9'!G5/30),1))</f>
        <v/>
      </c>
      <c r="K67" s="108" t="str">
        <f>IF(OR('Week 10'!F5=0,'Week 10'!F5=""),"",ROUND('Week 10'!F5*(1+'Week 10'!G5/30),1))</f>
        <v/>
      </c>
      <c r="L67" s="108" t="str">
        <f>IF(OR('Week 11'!F5=0,'Week 11'!F5=""),"",ROUND('Week 11'!F5*(1+'Week 11'!G5/30),1))</f>
        <v/>
      </c>
      <c r="M67" s="108" t="str">
        <f>IF(OR('Week 12'!F5=0,'Week 12'!F5=""),"",ROUND('Week 12'!F5*(1+'Week 12'!G5/30),1))</f>
        <v/>
      </c>
      <c r="N67" s="110">
        <f t="shared" si="4"/>
        <v>88.7</v>
      </c>
      <c r="O67" s="111">
        <f t="shared" si="5"/>
        <v>1</v>
      </c>
    </row>
    <row r="68" spans="1:15" ht="13" x14ac:dyDescent="0.3">
      <c r="A68" s="109" t="s">
        <v>28</v>
      </c>
      <c r="B68" s="108">
        <f>IF(OR('Week 1'!F6=0,'Week 1'!F6=""),"",ROUND('Week 1'!F6*(1+'Week 1'!G6/30),1))</f>
        <v>88.7</v>
      </c>
      <c r="C68" s="108" t="str">
        <f>IF(OR('Week 2'!F6=0,'Week 2'!F6=""),"",ROUND('Week 2'!F6*(1+'Week 2'!G6/30),1))</f>
        <v/>
      </c>
      <c r="D68" s="108" t="str">
        <f>IF(OR('Week 3'!F6=0,'Week 3'!F6=""),"",ROUND('Week 3'!F6*(1+'Week 3'!G6/30),1))</f>
        <v/>
      </c>
      <c r="E68" s="108" t="str">
        <f>IF(OR('Week 4'!F6=0,'Week 4'!F6=""),"",ROUND('Week 4'!F6*(1+'Week 4'!G6/30),1))</f>
        <v/>
      </c>
      <c r="F68" s="108" t="str">
        <f>IF(OR('Week 5'!F6=0,'Week 5'!F6=""),"",ROUND('Week 5'!F6*(1+'Week 5'!G6/30),1))</f>
        <v/>
      </c>
      <c r="G68" s="108" t="str">
        <f>IF(OR('Week 6'!F6=0,'Week 6'!F6=""),"",ROUND('Week 6'!F6*(1+'Week 6'!G6/30),1))</f>
        <v/>
      </c>
      <c r="H68" s="108" t="str">
        <f>IF(OR('Week 7'!F6=0,'Week 7'!F6=""),"",ROUND('Week 7'!F6*(1+'Week 7'!G6/30),1))</f>
        <v/>
      </c>
      <c r="I68" s="108" t="str">
        <f>IF(OR('Week 8'!F6=0,'Week 8'!F6=""),"",ROUND('Week 8'!F6*(1+'Week 8'!G6/30),1))</f>
        <v/>
      </c>
      <c r="J68" s="108" t="str">
        <f>IF(OR('Week 9'!F6=0,'Week 9'!F6=""),"",ROUND('Week 9'!F6*(1+'Week 9'!G6/30),1))</f>
        <v/>
      </c>
      <c r="K68" s="108" t="str">
        <f>IF(OR('Week 10'!F6=0,'Week 10'!F6=""),"",ROUND('Week 10'!F6*(1+'Week 10'!G6/30),1))</f>
        <v/>
      </c>
      <c r="L68" s="108" t="str">
        <f>IF(OR('Week 11'!F6=0,'Week 11'!F6=""),"",ROUND('Week 11'!F6*(1+'Week 11'!G6/30),1))</f>
        <v/>
      </c>
      <c r="M68" s="108" t="str">
        <f>IF(OR('Week 12'!F6=0,'Week 12'!F6=""),"",ROUND('Week 12'!F6*(1+'Week 12'!G6/30),1))</f>
        <v/>
      </c>
      <c r="N68" s="110">
        <f t="shared" si="4"/>
        <v>88.7</v>
      </c>
      <c r="O68" s="111">
        <f t="shared" si="5"/>
        <v>1</v>
      </c>
    </row>
    <row r="69" spans="1:15" ht="13" x14ac:dyDescent="0.3">
      <c r="A69" s="109" t="s">
        <v>31</v>
      </c>
      <c r="B69" s="108">
        <f>IF(OR('Week 1'!F7=0,'Week 1'!F7=""),"",ROUND('Week 1'!F7*(1+'Week 1'!G7/30),1))</f>
        <v>31.7</v>
      </c>
      <c r="C69" s="108" t="str">
        <f>IF(OR('Week 2'!F7=0,'Week 2'!F7=""),"",ROUND('Week 2'!F7*(1+'Week 2'!G7/30),1))</f>
        <v/>
      </c>
      <c r="D69" s="108" t="str">
        <f>IF(OR('Week 3'!F7=0,'Week 3'!F7=""),"",ROUND('Week 3'!F7*(1+'Week 3'!G7/30),1))</f>
        <v/>
      </c>
      <c r="E69" s="108" t="str">
        <f>IF(OR('Week 4'!F7=0,'Week 4'!F7=""),"",ROUND('Week 4'!F7*(1+'Week 4'!G7/30),1))</f>
        <v/>
      </c>
      <c r="F69" s="108" t="str">
        <f>IF(OR('Week 5'!F7=0,'Week 5'!F7=""),"",ROUND('Week 5'!F7*(1+'Week 5'!G7/30),1))</f>
        <v/>
      </c>
      <c r="G69" s="108" t="str">
        <f>IF(OR('Week 6'!F7=0,'Week 6'!F7=""),"",ROUND('Week 6'!F7*(1+'Week 6'!G7/30),1))</f>
        <v/>
      </c>
      <c r="H69" s="108" t="str">
        <f>IF(OR('Week 7'!F7=0,'Week 7'!F7=""),"",ROUND('Week 7'!F7*(1+'Week 7'!G7/30),1))</f>
        <v/>
      </c>
      <c r="I69" s="108" t="str">
        <f>IF(OR('Week 8'!F7=0,'Week 8'!F7=""),"",ROUND('Week 8'!F7*(1+'Week 8'!G7/30),1))</f>
        <v/>
      </c>
      <c r="J69" s="108" t="str">
        <f>IF(OR('Week 9'!F7=0,'Week 9'!F7=""),"",ROUND('Week 9'!F7*(1+'Week 9'!G7/30),1))</f>
        <v/>
      </c>
      <c r="K69" s="108" t="str">
        <f>IF(OR('Week 10'!F7=0,'Week 10'!F7=""),"",ROUND('Week 10'!F7*(1+'Week 10'!G7/30),1))</f>
        <v/>
      </c>
      <c r="L69" s="108" t="str">
        <f>IF(OR('Week 11'!F7=0,'Week 11'!F7=""),"",ROUND('Week 11'!F7*(1+'Week 11'!G7/30),1))</f>
        <v/>
      </c>
      <c r="M69" s="108" t="str">
        <f>IF(OR('Week 12'!F7=0,'Week 12'!F7=""),"",ROUND('Week 12'!F7*(1+'Week 12'!G7/30),1))</f>
        <v/>
      </c>
      <c r="N69" s="110">
        <f t="shared" si="4"/>
        <v>31.7</v>
      </c>
      <c r="O69" s="111">
        <f t="shared" si="5"/>
        <v>1</v>
      </c>
    </row>
    <row r="70" spans="1:15" ht="13" x14ac:dyDescent="0.3">
      <c r="A70" s="109" t="s">
        <v>36</v>
      </c>
      <c r="B70" s="108">
        <f>IF(OR('Week 1'!F8=0,'Week 1'!F8=""),"",ROUND('Week 1'!F8*(1+'Week 1'!G8/30),1))</f>
        <v>9.5</v>
      </c>
      <c r="C70" s="108" t="str">
        <f>IF(OR('Week 2'!F8=0,'Week 2'!F8=""),"",ROUND('Week 2'!F8*(1+'Week 2'!G8/30),1))</f>
        <v/>
      </c>
      <c r="D70" s="108" t="str">
        <f>IF(OR('Week 3'!F8=0,'Week 3'!F8=""),"",ROUND('Week 3'!F8*(1+'Week 3'!G8/30),1))</f>
        <v/>
      </c>
      <c r="E70" s="108" t="str">
        <f>IF(OR('Week 4'!F8=0,'Week 4'!F8=""),"",ROUND('Week 4'!F8*(1+'Week 4'!G8/30),1))</f>
        <v/>
      </c>
      <c r="F70" s="108" t="str">
        <f>IF(OR('Week 5'!F8=0,'Week 5'!F8=""),"",ROUND('Week 5'!F8*(1+'Week 5'!G8/30),1))</f>
        <v/>
      </c>
      <c r="G70" s="108" t="str">
        <f>IF(OR('Week 6'!F8=0,'Week 6'!F8=""),"",ROUND('Week 6'!F8*(1+'Week 6'!G8/30),1))</f>
        <v/>
      </c>
      <c r="H70" s="108" t="str">
        <f>IF(OR('Week 7'!F8=0,'Week 7'!F8=""),"",ROUND('Week 7'!F8*(1+'Week 7'!G8/30),1))</f>
        <v/>
      </c>
      <c r="I70" s="108" t="str">
        <f>IF(OR('Week 8'!F8=0,'Week 8'!F8=""),"",ROUND('Week 8'!F8*(1+'Week 8'!G8/30),1))</f>
        <v/>
      </c>
      <c r="J70" s="108" t="str">
        <f>IF(OR('Week 9'!F8=0,'Week 9'!F8=""),"",ROUND('Week 9'!F8*(1+'Week 9'!G8/30),1))</f>
        <v/>
      </c>
      <c r="K70" s="108" t="str">
        <f>IF(OR('Week 10'!F8=0,'Week 10'!F8=""),"",ROUND('Week 10'!F8*(1+'Week 10'!G8/30),1))</f>
        <v/>
      </c>
      <c r="L70" s="108" t="str">
        <f>IF(OR('Week 11'!F8=0,'Week 11'!F8=""),"",ROUND('Week 11'!F8*(1+'Week 11'!G8/30),1))</f>
        <v/>
      </c>
      <c r="M70" s="108" t="str">
        <f>IF(OR('Week 12'!F8=0,'Week 12'!F8=""),"",ROUND('Week 12'!F8*(1+'Week 12'!G8/30),1))</f>
        <v/>
      </c>
      <c r="N70" s="110">
        <f t="shared" si="4"/>
        <v>9.5</v>
      </c>
      <c r="O70" s="111">
        <f t="shared" si="5"/>
        <v>1</v>
      </c>
    </row>
    <row r="71" spans="1:15" ht="13" x14ac:dyDescent="0.3">
      <c r="A71" s="109" t="s">
        <v>250</v>
      </c>
      <c r="B71" s="108">
        <f>IF(OR('Week 1'!F9=0,'Week 1'!F9=""),"",ROUND('Week 1'!F9*(1+'Week 1'!G9/30),1))</f>
        <v>88.7</v>
      </c>
      <c r="C71" s="108" t="str">
        <f>IF(OR('Week 2'!F9=0,'Week 2'!F9=""),"",ROUND('Week 2'!F9*(1+'Week 2'!G9/30),1))</f>
        <v/>
      </c>
      <c r="D71" s="108" t="str">
        <f>IF(OR('Week 3'!F9=0,'Week 3'!F9=""),"",ROUND('Week 3'!F9*(1+'Week 3'!G9/30),1))</f>
        <v/>
      </c>
      <c r="E71" s="108" t="str">
        <f>IF(OR('Week 4'!F9=0,'Week 4'!F9=""),"",ROUND('Week 4'!F9*(1+'Week 4'!G9/30),1))</f>
        <v/>
      </c>
      <c r="F71" s="108" t="str">
        <f>IF(OR('Week 5'!F9=0,'Week 5'!F9=""),"",ROUND('Week 5'!F9*(1+'Week 5'!G9/30),1))</f>
        <v/>
      </c>
      <c r="G71" s="108" t="str">
        <f>IF(OR('Week 6'!F9=0,'Week 6'!F9=""),"",ROUND('Week 6'!F9*(1+'Week 6'!G9/30),1))</f>
        <v/>
      </c>
      <c r="H71" s="108" t="str">
        <f>IF(OR('Week 7'!F9=0,'Week 7'!F9=""),"",ROUND('Week 7'!F9*(1+'Week 7'!G9/30),1))</f>
        <v/>
      </c>
      <c r="I71" s="108" t="str">
        <f>IF(OR('Week 8'!F9=0,'Week 8'!F9=""),"",ROUND('Week 8'!F9*(1+'Week 8'!G9/30),1))</f>
        <v/>
      </c>
      <c r="J71" s="108" t="str">
        <f>IF(OR('Week 9'!F9=0,'Week 9'!F9=""),"",ROUND('Week 9'!F9*(1+'Week 9'!G9/30),1))</f>
        <v/>
      </c>
      <c r="K71" s="108" t="str">
        <f>IF(OR('Week 10'!F9=0,'Week 10'!F9=""),"",ROUND('Week 10'!F9*(1+'Week 10'!G9/30),1))</f>
        <v/>
      </c>
      <c r="L71" s="108" t="str">
        <f>IF(OR('Week 11'!F9=0,'Week 11'!F9=""),"",ROUND('Week 11'!F9*(1+'Week 11'!G9/30),1))</f>
        <v/>
      </c>
      <c r="M71" s="108" t="str">
        <f>IF(OR('Week 12'!F9=0,'Week 12'!F9=""),"",ROUND('Week 12'!F9*(1+'Week 12'!G9/30),1))</f>
        <v/>
      </c>
      <c r="N71" s="110">
        <f t="shared" si="4"/>
        <v>88.7</v>
      </c>
      <c r="O71" s="111">
        <f t="shared" si="5"/>
        <v>1</v>
      </c>
    </row>
    <row r="72" spans="1:15" ht="13" x14ac:dyDescent="0.3">
      <c r="A72" s="109" t="s">
        <v>56</v>
      </c>
      <c r="B72" s="108">
        <f>IF(OR('Week 1'!F13=0,'Week 1'!F13=""),"",ROUND('Week 1'!F13*(1+'Week 1'!G13/30),1))</f>
        <v>88.7</v>
      </c>
      <c r="C72" s="108" t="str">
        <f>IF(OR('Week 2'!F13=0,'Week 2'!F13=""),"",ROUND('Week 2'!F13*(1+'Week 2'!G13/30),1))</f>
        <v/>
      </c>
      <c r="D72" s="108" t="str">
        <f>IF(OR('Week 3'!F13=0,'Week 3'!F13=""),"",ROUND('Week 3'!F13*(1+'Week 3'!G13/30),1))</f>
        <v/>
      </c>
      <c r="E72" s="108" t="str">
        <f>IF(OR('Week 4'!F13=0,'Week 4'!F13=""),"",ROUND('Week 4'!F13*(1+'Week 4'!G13/30),1))</f>
        <v/>
      </c>
      <c r="F72" s="108" t="str">
        <f>IF(OR('Week 5'!F13=0,'Week 5'!F13=""),"",ROUND('Week 5'!F13*(1+'Week 5'!G13/30),1))</f>
        <v/>
      </c>
      <c r="G72" s="108" t="str">
        <f>IF(OR('Week 6'!F13=0,'Week 6'!F13=""),"",ROUND('Week 6'!F13*(1+'Week 6'!G13/30),1))</f>
        <v/>
      </c>
      <c r="H72" s="108" t="str">
        <f>IF(OR('Week 7'!F13=0,'Week 7'!F13=""),"",ROUND('Week 7'!F13*(1+'Week 7'!G13/30),1))</f>
        <v/>
      </c>
      <c r="I72" s="108" t="str">
        <f>IF(OR('Week 8'!F13=0,'Week 8'!F13=""),"",ROUND('Week 8'!F13*(1+'Week 8'!G13/30),1))</f>
        <v/>
      </c>
      <c r="J72" s="108" t="str">
        <f>IF(OR('Week 9'!F13=0,'Week 9'!F13=""),"",ROUND('Week 9'!F13*(1+'Week 9'!G13/30),1))</f>
        <v/>
      </c>
      <c r="K72" s="108" t="str">
        <f>IF(OR('Week 10'!F13=0,'Week 10'!F13=""),"",ROUND('Week 10'!F13*(1+'Week 10'!G13/30),1))</f>
        <v/>
      </c>
      <c r="L72" s="108" t="str">
        <f>IF(OR('Week 11'!F13=0,'Week 11'!F13=""),"",ROUND('Week 11'!F13*(1+'Week 11'!G13/30),1))</f>
        <v/>
      </c>
      <c r="M72" s="108" t="str">
        <f>IF(OR('Week 12'!F13=0,'Week 12'!F13=""),"",ROUND('Week 12'!F13*(1+'Week 12'!G13/30),1))</f>
        <v/>
      </c>
      <c r="N72" s="110">
        <f t="shared" si="4"/>
        <v>88.7</v>
      </c>
      <c r="O72" s="111">
        <f t="shared" si="5"/>
        <v>1</v>
      </c>
    </row>
    <row r="73" spans="1:15" ht="13" x14ac:dyDescent="0.3">
      <c r="A73" s="109" t="s">
        <v>59</v>
      </c>
      <c r="B73" s="108">
        <f>IF(OR('Week 1'!F14=0,'Week 1'!F14=""),"",ROUND('Week 1'!F14*(1+'Week 1'!G14/30),1))</f>
        <v>88.7</v>
      </c>
      <c r="C73" s="108" t="str">
        <f>IF(OR('Week 2'!F14=0,'Week 2'!F14=""),"",ROUND('Week 2'!F14*(1+'Week 2'!G14/30),1))</f>
        <v/>
      </c>
      <c r="D73" s="108" t="str">
        <f>IF(OR('Week 3'!F14=0,'Week 3'!F14=""),"",ROUND('Week 3'!F14*(1+'Week 3'!G14/30),1))</f>
        <v/>
      </c>
      <c r="E73" s="108" t="str">
        <f>IF(OR('Week 4'!F14=0,'Week 4'!F14=""),"",ROUND('Week 4'!F14*(1+'Week 4'!G14/30),1))</f>
        <v/>
      </c>
      <c r="F73" s="108" t="str">
        <f>IF(OR('Week 5'!F14=0,'Week 5'!F14=""),"",ROUND('Week 5'!F14*(1+'Week 5'!G14/30),1))</f>
        <v/>
      </c>
      <c r="G73" s="108" t="str">
        <f>IF(OR('Week 6'!F14=0,'Week 6'!F14=""),"",ROUND('Week 6'!F14*(1+'Week 6'!G14/30),1))</f>
        <v/>
      </c>
      <c r="H73" s="108" t="str">
        <f>IF(OR('Week 7'!F14=0,'Week 7'!F14=""),"",ROUND('Week 7'!F14*(1+'Week 7'!G14/30),1))</f>
        <v/>
      </c>
      <c r="I73" s="108" t="str">
        <f>IF(OR('Week 8'!F14=0,'Week 8'!F14=""),"",ROUND('Week 8'!F14*(1+'Week 8'!G14/30),1))</f>
        <v/>
      </c>
      <c r="J73" s="108" t="str">
        <f>IF(OR('Week 9'!F14=0,'Week 9'!F14=""),"",ROUND('Week 9'!F14*(1+'Week 9'!G14/30),1))</f>
        <v/>
      </c>
      <c r="K73" s="108" t="str">
        <f>IF(OR('Week 10'!F14=0,'Week 10'!F14=""),"",ROUND('Week 10'!F14*(1+'Week 10'!G14/30),1))</f>
        <v/>
      </c>
      <c r="L73" s="108" t="str">
        <f>IF(OR('Week 11'!F14=0,'Week 11'!F14=""),"",ROUND('Week 11'!F14*(1+'Week 11'!G14/30),1))</f>
        <v/>
      </c>
      <c r="M73" s="108" t="str">
        <f>IF(OR('Week 12'!F14=0,'Week 12'!F14=""),"",ROUND('Week 12'!F14*(1+'Week 12'!G14/30),1))</f>
        <v/>
      </c>
      <c r="N73" s="110">
        <f t="shared" si="4"/>
        <v>88.7</v>
      </c>
      <c r="O73" s="111">
        <f t="shared" si="5"/>
        <v>1</v>
      </c>
    </row>
    <row r="74" spans="1:15" ht="13" x14ac:dyDescent="0.3">
      <c r="A74" s="109" t="s">
        <v>64</v>
      </c>
      <c r="B74" s="108">
        <f>IF(OR('Week 1'!F15=0,'Week 1'!F15=""),"",ROUND('Week 1'!F15*(1+'Week 1'!G15/30),1))</f>
        <v>46.7</v>
      </c>
      <c r="C74" s="108" t="str">
        <f>IF(OR('Week 2'!F15=0,'Week 2'!F15=""),"",ROUND('Week 2'!F15*(1+'Week 2'!G15/30),1))</f>
        <v/>
      </c>
      <c r="D74" s="108" t="str">
        <f>IF(OR('Week 3'!F15=0,'Week 3'!F15=""),"",ROUND('Week 3'!F15*(1+'Week 3'!G15/30),1))</f>
        <v/>
      </c>
      <c r="E74" s="108" t="str">
        <f>IF(OR('Week 4'!F15=0,'Week 4'!F15=""),"",ROUND('Week 4'!F15*(1+'Week 4'!G15/30),1))</f>
        <v/>
      </c>
      <c r="F74" s="108" t="str">
        <f>IF(OR('Week 5'!F15=0,'Week 5'!F15=""),"",ROUND('Week 5'!F15*(1+'Week 5'!G15/30),1))</f>
        <v/>
      </c>
      <c r="G74" s="108" t="str">
        <f>IF(OR('Week 6'!F15=0,'Week 6'!F15=""),"",ROUND('Week 6'!F15*(1+'Week 6'!G15/30),1))</f>
        <v/>
      </c>
      <c r="H74" s="108" t="str">
        <f>IF(OR('Week 7'!F15=0,'Week 7'!F15=""),"",ROUND('Week 7'!F15*(1+'Week 7'!G15/30),1))</f>
        <v/>
      </c>
      <c r="I74" s="108" t="str">
        <f>IF(OR('Week 8'!F15=0,'Week 8'!F15=""),"",ROUND('Week 8'!F15*(1+'Week 8'!G15/30),1))</f>
        <v/>
      </c>
      <c r="J74" s="108" t="str">
        <f>IF(OR('Week 9'!F15=0,'Week 9'!F15=""),"",ROUND('Week 9'!F15*(1+'Week 9'!G15/30),1))</f>
        <v/>
      </c>
      <c r="K74" s="108" t="str">
        <f>IF(OR('Week 10'!F15=0,'Week 10'!F15=""),"",ROUND('Week 10'!F15*(1+'Week 10'!G15/30),1))</f>
        <v/>
      </c>
      <c r="L74" s="108" t="str">
        <f>IF(OR('Week 11'!F15=0,'Week 11'!F15=""),"",ROUND('Week 11'!F15*(1+'Week 11'!G15/30),1))</f>
        <v/>
      </c>
      <c r="M74" s="108" t="str">
        <f>IF(OR('Week 12'!F15=0,'Week 12'!F15=""),"",ROUND('Week 12'!F15*(1+'Week 12'!G15/30),1))</f>
        <v/>
      </c>
      <c r="N74" s="110">
        <f t="shared" si="4"/>
        <v>46.7</v>
      </c>
      <c r="O74" s="111">
        <f t="shared" si="5"/>
        <v>1</v>
      </c>
    </row>
    <row r="75" spans="1:15" ht="13" x14ac:dyDescent="0.3">
      <c r="A75" s="109" t="s">
        <v>67</v>
      </c>
      <c r="B75" s="108">
        <f>IF(OR('Week 1'!F16=0,'Week 1'!F16=""),"",ROUND('Week 1'!F16*(1+'Week 1'!G16/30),1))</f>
        <v>76</v>
      </c>
      <c r="C75" s="108" t="str">
        <f>IF(OR('Week 2'!F16=0,'Week 2'!F16=""),"",ROUND('Week 2'!F16*(1+'Week 2'!G16/30),1))</f>
        <v/>
      </c>
      <c r="D75" s="108" t="str">
        <f>IF(OR('Week 3'!F16=0,'Week 3'!F16=""),"",ROUND('Week 3'!F16*(1+'Week 3'!G16/30),1))</f>
        <v/>
      </c>
      <c r="E75" s="108" t="str">
        <f>IF(OR('Week 4'!F16=0,'Week 4'!F16=""),"",ROUND('Week 4'!F16*(1+'Week 4'!G16/30),1))</f>
        <v/>
      </c>
      <c r="F75" s="108" t="str">
        <f>IF(OR('Week 5'!F16=0,'Week 5'!F16=""),"",ROUND('Week 5'!F16*(1+'Week 5'!G16/30),1))</f>
        <v/>
      </c>
      <c r="G75" s="108" t="str">
        <f>IF(OR('Week 6'!F16=0,'Week 6'!F16=""),"",ROUND('Week 6'!F16*(1+'Week 6'!G16/30),1))</f>
        <v/>
      </c>
      <c r="H75" s="108" t="str">
        <f>IF(OR('Week 7'!F16=0,'Week 7'!F16=""),"",ROUND('Week 7'!F16*(1+'Week 7'!G16/30),1))</f>
        <v/>
      </c>
      <c r="I75" s="108" t="str">
        <f>IF(OR('Week 8'!F16=0,'Week 8'!F16=""),"",ROUND('Week 8'!F16*(1+'Week 8'!G16/30),1))</f>
        <v/>
      </c>
      <c r="J75" s="108" t="str">
        <f>IF(OR('Week 9'!F16=0,'Week 9'!F16=""),"",ROUND('Week 9'!F16*(1+'Week 9'!G16/30),1))</f>
        <v/>
      </c>
      <c r="K75" s="108" t="str">
        <f>IF(OR('Week 10'!F16=0,'Week 10'!F16=""),"",ROUND('Week 10'!F16*(1+'Week 10'!G16/30),1))</f>
        <v/>
      </c>
      <c r="L75" s="108" t="str">
        <f>IF(OR('Week 11'!F16=0,'Week 11'!F16=""),"",ROUND('Week 11'!F16*(1+'Week 11'!G16/30),1))</f>
        <v/>
      </c>
      <c r="M75" s="108" t="str">
        <f>IF(OR('Week 12'!F16=0,'Week 12'!F16=""),"",ROUND('Week 12'!F16*(1+'Week 12'!G16/30),1))</f>
        <v/>
      </c>
      <c r="N75" s="110">
        <f t="shared" si="4"/>
        <v>76</v>
      </c>
      <c r="O75" s="111">
        <f t="shared" si="5"/>
        <v>1</v>
      </c>
    </row>
    <row r="76" spans="1:15" ht="13" x14ac:dyDescent="0.3">
      <c r="A76" s="109" t="s">
        <v>71</v>
      </c>
      <c r="B76" s="108">
        <f>IF(OR('Week 1'!F17=0,'Week 1'!F17=""),"",ROUND('Week 1'!F17*(1+'Week 1'!G17/30),1))</f>
        <v>33.299999999999997</v>
      </c>
      <c r="C76" s="108" t="str">
        <f>IF(OR('Week 2'!F17=0,'Week 2'!F17=""),"",ROUND('Week 2'!F17*(1+'Week 2'!G17/30),1))</f>
        <v/>
      </c>
      <c r="D76" s="108" t="str">
        <f>IF(OR('Week 3'!F17=0,'Week 3'!F17=""),"",ROUND('Week 3'!F17*(1+'Week 3'!G17/30),1))</f>
        <v/>
      </c>
      <c r="E76" s="108" t="str">
        <f>IF(OR('Week 4'!F17=0,'Week 4'!F17=""),"",ROUND('Week 4'!F17*(1+'Week 4'!G17/30),1))</f>
        <v/>
      </c>
      <c r="F76" s="108" t="str">
        <f>IF(OR('Week 5'!F17=0,'Week 5'!F17=""),"",ROUND('Week 5'!F17*(1+'Week 5'!G17/30),1))</f>
        <v/>
      </c>
      <c r="G76" s="108" t="str">
        <f>IF(OR('Week 6'!F17=0,'Week 6'!F17=""),"",ROUND('Week 6'!F17*(1+'Week 6'!G17/30),1))</f>
        <v/>
      </c>
      <c r="H76" s="108" t="str">
        <f>IF(OR('Week 7'!F17=0,'Week 7'!F17=""),"",ROUND('Week 7'!F17*(1+'Week 7'!G17/30),1))</f>
        <v/>
      </c>
      <c r="I76" s="108" t="str">
        <f>IF(OR('Week 8'!F17=0,'Week 8'!F17=""),"",ROUND('Week 8'!F17*(1+'Week 8'!G17/30),1))</f>
        <v/>
      </c>
      <c r="J76" s="108" t="str">
        <f>IF(OR('Week 9'!F17=0,'Week 9'!F17=""),"",ROUND('Week 9'!F17*(1+'Week 9'!G17/30),1))</f>
        <v/>
      </c>
      <c r="K76" s="108" t="str">
        <f>IF(OR('Week 10'!F17=0,'Week 10'!F17=""),"",ROUND('Week 10'!F17*(1+'Week 10'!G17/30),1))</f>
        <v/>
      </c>
      <c r="L76" s="108" t="str">
        <f>IF(OR('Week 11'!F17=0,'Week 11'!F17=""),"",ROUND('Week 11'!F17*(1+'Week 11'!G17/30),1))</f>
        <v/>
      </c>
      <c r="M76" s="108" t="str">
        <f>IF(OR('Week 12'!F17=0,'Week 12'!F17=""),"",ROUND('Week 12'!F17*(1+'Week 12'!G17/30),1))</f>
        <v/>
      </c>
      <c r="N76" s="110">
        <f t="shared" si="4"/>
        <v>33.299999999999997</v>
      </c>
      <c r="O76" s="111">
        <f t="shared" si="5"/>
        <v>1</v>
      </c>
    </row>
    <row r="77" spans="1:15" ht="13" x14ac:dyDescent="0.3">
      <c r="A77" s="109" t="s">
        <v>74</v>
      </c>
      <c r="B77" s="108" t="str">
        <f>IF(OR('Week 1'!F18=0,'Week 1'!F18=""),"",ROUND('Week 1'!F18*(1+'Week 1'!G18/30),1))</f>
        <v/>
      </c>
      <c r="C77" s="108" t="str">
        <f>IF(OR('Week 2'!F18=0,'Week 2'!F18=""),"",ROUND('Week 2'!F18*(1+'Week 2'!G18/30),1))</f>
        <v/>
      </c>
      <c r="D77" s="108" t="str">
        <f>IF(OR('Week 3'!F18=0,'Week 3'!F18=""),"",ROUND('Week 3'!F18*(1+'Week 3'!G18/30),1))</f>
        <v/>
      </c>
      <c r="E77" s="108" t="str">
        <f>IF(OR('Week 4'!F18=0,'Week 4'!F18=""),"",ROUND('Week 4'!F18*(1+'Week 4'!G18/30),1))</f>
        <v/>
      </c>
      <c r="F77" s="108" t="str">
        <f>IF(OR('Week 5'!F18=0,'Week 5'!F18=""),"",ROUND('Week 5'!F18*(1+'Week 5'!G18/30),1))</f>
        <v/>
      </c>
      <c r="G77" s="108" t="str">
        <f>IF(OR('Week 6'!F18=0,'Week 6'!F18=""),"",ROUND('Week 6'!F18*(1+'Week 6'!G18/30),1))</f>
        <v/>
      </c>
      <c r="H77" s="108" t="str">
        <f>IF(OR('Week 7'!F18=0,'Week 7'!F18=""),"",ROUND('Week 7'!F18*(1+'Week 7'!G18/30),1))</f>
        <v/>
      </c>
      <c r="I77" s="108" t="str">
        <f>IF(OR('Week 8'!F18=0,'Week 8'!F18=""),"",ROUND('Week 8'!F18*(1+'Week 8'!G18/30),1))</f>
        <v/>
      </c>
      <c r="J77" s="108" t="str">
        <f>IF(OR('Week 9'!F18=0,'Week 9'!F18=""),"",ROUND('Week 9'!F18*(1+'Week 9'!G18/30),1))</f>
        <v/>
      </c>
      <c r="K77" s="108" t="str">
        <f>IF(OR('Week 10'!F18=0,'Week 10'!F18=""),"",ROUND('Week 10'!F18*(1+'Week 10'!G18/30),1))</f>
        <v/>
      </c>
      <c r="L77" s="108" t="str">
        <f>IF(OR('Week 11'!F18=0,'Week 11'!F18=""),"",ROUND('Week 11'!F18*(1+'Week 11'!G18/30),1))</f>
        <v/>
      </c>
      <c r="M77" s="108" t="str">
        <f>IF(OR('Week 12'!F18=0,'Week 12'!F18=""),"",ROUND('Week 12'!F18*(1+'Week 12'!G18/30),1))</f>
        <v/>
      </c>
      <c r="N77" s="110" t="str">
        <f t="shared" si="4"/>
        <v/>
      </c>
      <c r="O77" s="111" t="str">
        <f t="shared" si="5"/>
        <v/>
      </c>
    </row>
    <row r="78" spans="1:15" ht="13" x14ac:dyDescent="0.3">
      <c r="A78" s="109" t="s">
        <v>80</v>
      </c>
      <c r="B78" s="108" t="str">
        <f>IF(OR('Week 1'!F19=0,'Week 1'!F19=""),"",ROUND('Week 1'!F19*(1+'Week 1'!G19/30),1))</f>
        <v/>
      </c>
      <c r="C78" s="108" t="str">
        <f>IF(OR('Week 2'!F19=0,'Week 2'!F19=""),"",ROUND('Week 2'!F19*(1+'Week 2'!G19/30),1))</f>
        <v/>
      </c>
      <c r="D78" s="108" t="str">
        <f>IF(OR('Week 3'!F19=0,'Week 3'!F19=""),"",ROUND('Week 3'!F19*(1+'Week 3'!G19/30),1))</f>
        <v/>
      </c>
      <c r="E78" s="108" t="str">
        <f>IF(OR('Week 4'!F19=0,'Week 4'!F19=""),"",ROUND('Week 4'!F19*(1+'Week 4'!G19/30),1))</f>
        <v/>
      </c>
      <c r="F78" s="108" t="str">
        <f>IF(OR('Week 5'!F19=0,'Week 5'!F19=""),"",ROUND('Week 5'!F19*(1+'Week 5'!G19/30),1))</f>
        <v/>
      </c>
      <c r="G78" s="108" t="str">
        <f>IF(OR('Week 6'!F19=0,'Week 6'!F19=""),"",ROUND('Week 6'!F19*(1+'Week 6'!G19/30),1))</f>
        <v/>
      </c>
      <c r="H78" s="108" t="str">
        <f>IF(OR('Week 7'!F19=0,'Week 7'!F19=""),"",ROUND('Week 7'!F19*(1+'Week 7'!G19/30),1))</f>
        <v/>
      </c>
      <c r="I78" s="108" t="str">
        <f>IF(OR('Week 8'!F19=0,'Week 8'!F19=""),"",ROUND('Week 8'!F19*(1+'Week 8'!G19/30),1))</f>
        <v/>
      </c>
      <c r="J78" s="108" t="str">
        <f>IF(OR('Week 9'!F19=0,'Week 9'!F19=""),"",ROUND('Week 9'!F19*(1+'Week 9'!G19/30),1))</f>
        <v/>
      </c>
      <c r="K78" s="108" t="str">
        <f>IF(OR('Week 10'!F19=0,'Week 10'!F19=""),"",ROUND('Week 10'!F19*(1+'Week 10'!G19/30),1))</f>
        <v/>
      </c>
      <c r="L78" s="108" t="str">
        <f>IF(OR('Week 11'!F19=0,'Week 11'!F19=""),"",ROUND('Week 11'!F19*(1+'Week 11'!G19/30),1))</f>
        <v/>
      </c>
      <c r="M78" s="108" t="str">
        <f>IF(OR('Week 12'!F19=0,'Week 12'!F19=""),"",ROUND('Week 12'!F19*(1+'Week 12'!G19/30),1))</f>
        <v/>
      </c>
      <c r="N78" s="110" t="str">
        <f t="shared" si="4"/>
        <v/>
      </c>
      <c r="O78" s="111" t="str">
        <f t="shared" si="5"/>
        <v/>
      </c>
    </row>
    <row r="79" spans="1:15" ht="35" customHeight="1" x14ac:dyDescent="0.3">
      <c r="A79" s="109" t="s">
        <v>48</v>
      </c>
      <c r="B79" s="108">
        <f>IF(OR('Week 1'!F23=0,'Week 1'!F23=""),"",ROUND('Week 1'!F23*(1+'Week 1'!G23/30),1))</f>
        <v>82.3</v>
      </c>
      <c r="C79" s="108" t="str">
        <f>IF(OR('Week 2'!F23=0,'Week 2'!F23=""),"",ROUND('Week 2'!F23*(1+'Week 2'!G23/30),1))</f>
        <v/>
      </c>
      <c r="D79" s="108" t="str">
        <f>IF(OR('Week 3'!F23=0,'Week 3'!F23=""),"",ROUND('Week 3'!F23*(1+'Week 3'!G23/30),1))</f>
        <v/>
      </c>
      <c r="E79" s="108" t="str">
        <f>IF(OR('Week 4'!F23=0,'Week 4'!F23=""),"",ROUND('Week 4'!F23*(1+'Week 4'!G23/30),1))</f>
        <v/>
      </c>
      <c r="F79" s="108" t="str">
        <f>IF(OR('Week 5'!F23=0,'Week 5'!F23=""),"",ROUND('Week 5'!F23*(1+'Week 5'!G23/30),1))</f>
        <v/>
      </c>
      <c r="G79" s="108" t="str">
        <f>IF(OR('Week 6'!F23=0,'Week 6'!F23=""),"",ROUND('Week 6'!F23*(1+'Week 6'!G23/30),1))</f>
        <v/>
      </c>
      <c r="H79" s="108" t="str">
        <f>IF(OR('Week 7'!F23=0,'Week 7'!F23=""),"",ROUND('Week 7'!F23*(1+'Week 7'!G23/30),1))</f>
        <v/>
      </c>
      <c r="I79" s="108" t="str">
        <f>IF(OR('Week 8'!F23=0,'Week 8'!F23=""),"",ROUND('Week 8'!F23*(1+'Week 8'!G23/30),1))</f>
        <v/>
      </c>
      <c r="J79" s="108" t="str">
        <f>IF(OR('Week 9'!F23=0,'Week 9'!F23=""),"",ROUND('Week 9'!F23*(1+'Week 9'!G23/30),1))</f>
        <v/>
      </c>
      <c r="K79" s="108" t="str">
        <f>IF(OR('Week 10'!F23=0,'Week 10'!F23=""),"",ROUND('Week 10'!F23*(1+'Week 10'!G23/30),1))</f>
        <v/>
      </c>
      <c r="L79" s="108" t="str">
        <f>IF(OR('Week 11'!F23=0,'Week 11'!F23=""),"",ROUND('Week 11'!F23*(1+'Week 11'!G23/30),1))</f>
        <v/>
      </c>
      <c r="M79" s="108" t="str">
        <f>IF(OR('Week 12'!F23=0,'Week 12'!F23=""),"",ROUND('Week 12'!F23*(1+'Week 12'!G23/30),1))</f>
        <v/>
      </c>
      <c r="N79" s="110">
        <f t="shared" si="4"/>
        <v>82.3</v>
      </c>
      <c r="O79" s="111">
        <f t="shared" si="5"/>
        <v>1</v>
      </c>
    </row>
    <row r="80" spans="1:15" ht="13" x14ac:dyDescent="0.3">
      <c r="A80" s="109" t="s">
        <v>82</v>
      </c>
      <c r="B80" s="108" t="str">
        <f>IF(OR('Week 1'!F24=0,'Week 1'!F24=""),"",ROUND('Week 1'!F24*(1+'Week 1'!G24/30),1))</f>
        <v/>
      </c>
      <c r="C80" s="108" t="str">
        <f>IF(OR('Week 2'!F24=0,'Week 2'!F24=""),"",ROUND('Week 2'!F24*(1+'Week 2'!G24/30),1))</f>
        <v/>
      </c>
      <c r="D80" s="108" t="str">
        <f>IF(OR('Week 3'!F24=0,'Week 3'!F24=""),"",ROUND('Week 3'!F24*(1+'Week 3'!G24/30),1))</f>
        <v/>
      </c>
      <c r="E80" s="108" t="str">
        <f>IF(OR('Week 4'!F24=0,'Week 4'!F24=""),"",ROUND('Week 4'!F24*(1+'Week 4'!G24/30),1))</f>
        <v/>
      </c>
      <c r="F80" s="108" t="str">
        <f>IF(OR('Week 5'!F24=0,'Week 5'!F24=""),"",ROUND('Week 5'!F24*(1+'Week 5'!G24/30),1))</f>
        <v/>
      </c>
      <c r="G80" s="108" t="str">
        <f>IF(OR('Week 6'!F24=0,'Week 6'!F24=""),"",ROUND('Week 6'!F24*(1+'Week 6'!G24/30),1))</f>
        <v/>
      </c>
      <c r="H80" s="108" t="str">
        <f>IF(OR('Week 7'!F24=0,'Week 7'!F24=""),"",ROUND('Week 7'!F24*(1+'Week 7'!G24/30),1))</f>
        <v/>
      </c>
      <c r="I80" s="108" t="str">
        <f>IF(OR('Week 8'!F24=0,'Week 8'!F24=""),"",ROUND('Week 8'!F24*(1+'Week 8'!G24/30),1))</f>
        <v/>
      </c>
      <c r="J80" s="108" t="str">
        <f>IF(OR('Week 9'!F24=0,'Week 9'!F24=""),"",ROUND('Week 9'!F24*(1+'Week 9'!G24/30),1))</f>
        <v/>
      </c>
      <c r="K80" s="108" t="str">
        <f>IF(OR('Week 10'!F24=0,'Week 10'!F24=""),"",ROUND('Week 10'!F24*(1+'Week 10'!G24/30),1))</f>
        <v/>
      </c>
      <c r="L80" s="108" t="str">
        <f>IF(OR('Week 11'!F24=0,'Week 11'!F24=""),"",ROUND('Week 11'!F24*(1+'Week 11'!G24/30),1))</f>
        <v/>
      </c>
      <c r="M80" s="108" t="str">
        <f>IF(OR('Week 12'!F24=0,'Week 12'!F24=""),"",ROUND('Week 12'!F24*(1+'Week 12'!G24/30),1))</f>
        <v/>
      </c>
      <c r="N80" s="110" t="str">
        <f t="shared" si="4"/>
        <v/>
      </c>
      <c r="O80" s="111" t="str">
        <f t="shared" si="5"/>
        <v/>
      </c>
    </row>
    <row r="81" spans="1:15" ht="13" x14ac:dyDescent="0.3">
      <c r="A81" s="109" t="s">
        <v>86</v>
      </c>
      <c r="B81" s="108">
        <f>IF(OR('Week 1'!F25=0,'Week 1'!F25=""),"",ROUND('Week 1'!F25*(1+'Week 1'!G25/30),1))</f>
        <v>228</v>
      </c>
      <c r="C81" s="108" t="str">
        <f>IF(OR('Week 2'!F25=0,'Week 2'!F25=""),"",ROUND('Week 2'!F25*(1+'Week 2'!G25/30),1))</f>
        <v/>
      </c>
      <c r="D81" s="108" t="str">
        <f>IF(OR('Week 3'!F25=0,'Week 3'!F25=""),"",ROUND('Week 3'!F25*(1+'Week 3'!G25/30),1))</f>
        <v/>
      </c>
      <c r="E81" s="108" t="str">
        <f>IF(OR('Week 4'!F25=0,'Week 4'!F25=""),"",ROUND('Week 4'!F25*(1+'Week 4'!G25/30),1))</f>
        <v/>
      </c>
      <c r="F81" s="108" t="str">
        <f>IF(OR('Week 5'!F25=0,'Week 5'!F25=""),"",ROUND('Week 5'!F25*(1+'Week 5'!G25/30),1))</f>
        <v/>
      </c>
      <c r="G81" s="108" t="str">
        <f>IF(OR('Week 6'!F25=0,'Week 6'!F25=""),"",ROUND('Week 6'!F25*(1+'Week 6'!G25/30),1))</f>
        <v/>
      </c>
      <c r="H81" s="108" t="str">
        <f>IF(OR('Week 7'!F25=0,'Week 7'!F25=""),"",ROUND('Week 7'!F25*(1+'Week 7'!G25/30),1))</f>
        <v/>
      </c>
      <c r="I81" s="108" t="str">
        <f>IF(OR('Week 8'!F25=0,'Week 8'!F25=""),"",ROUND('Week 8'!F25*(1+'Week 8'!G25/30),1))</f>
        <v/>
      </c>
      <c r="J81" s="108" t="str">
        <f>IF(OR('Week 9'!F25=0,'Week 9'!F25=""),"",ROUND('Week 9'!F25*(1+'Week 9'!G25/30),1))</f>
        <v/>
      </c>
      <c r="K81" s="108" t="str">
        <f>IF(OR('Week 10'!F25=0,'Week 10'!F25=""),"",ROUND('Week 10'!F25*(1+'Week 10'!G25/30),1))</f>
        <v/>
      </c>
      <c r="L81" s="108" t="str">
        <f>IF(OR('Week 11'!F25=0,'Week 11'!F25=""),"",ROUND('Week 11'!F25*(1+'Week 11'!G25/30),1))</f>
        <v/>
      </c>
      <c r="M81" s="108" t="str">
        <f>IF(OR('Week 12'!F25=0,'Week 12'!F25=""),"",ROUND('Week 12'!F25*(1+'Week 12'!G25/30),1))</f>
        <v/>
      </c>
      <c r="N81" s="110">
        <f t="shared" si="4"/>
        <v>228</v>
      </c>
      <c r="O81" s="111">
        <f t="shared" si="5"/>
        <v>1</v>
      </c>
    </row>
    <row r="82" spans="1:15" ht="13" x14ac:dyDescent="0.3">
      <c r="A82" s="109" t="s">
        <v>90</v>
      </c>
      <c r="B82" s="108">
        <f>IF(OR('Week 1'!F26=0,'Week 1'!F26=""),"",ROUND('Week 1'!F26*(1+'Week 1'!G26/30),1))</f>
        <v>60</v>
      </c>
      <c r="C82" s="108" t="str">
        <f>IF(OR('Week 2'!F26=0,'Week 2'!F26=""),"",ROUND('Week 2'!F26*(1+'Week 2'!G26/30),1))</f>
        <v/>
      </c>
      <c r="D82" s="108" t="str">
        <f>IF(OR('Week 3'!F26=0,'Week 3'!F26=""),"",ROUND('Week 3'!F26*(1+'Week 3'!G26/30),1))</f>
        <v/>
      </c>
      <c r="E82" s="108" t="str">
        <f>IF(OR('Week 4'!F26=0,'Week 4'!F26=""),"",ROUND('Week 4'!F26*(1+'Week 4'!G26/30),1))</f>
        <v/>
      </c>
      <c r="F82" s="108" t="str">
        <f>IF(OR('Week 5'!F26=0,'Week 5'!F26=""),"",ROUND('Week 5'!F26*(1+'Week 5'!G26/30),1))</f>
        <v/>
      </c>
      <c r="G82" s="108" t="str">
        <f>IF(OR('Week 6'!F26=0,'Week 6'!F26=""),"",ROUND('Week 6'!F26*(1+'Week 6'!G26/30),1))</f>
        <v/>
      </c>
      <c r="H82" s="108" t="str">
        <f>IF(OR('Week 7'!F26=0,'Week 7'!F26=""),"",ROUND('Week 7'!F26*(1+'Week 7'!G26/30),1))</f>
        <v/>
      </c>
      <c r="I82" s="108" t="str">
        <f>IF(OR('Week 8'!F26=0,'Week 8'!F26=""),"",ROUND('Week 8'!F26*(1+'Week 8'!G26/30),1))</f>
        <v/>
      </c>
      <c r="J82" s="108" t="str">
        <f>IF(OR('Week 9'!F26=0,'Week 9'!F26=""),"",ROUND('Week 9'!F26*(1+'Week 9'!G26/30),1))</f>
        <v/>
      </c>
      <c r="K82" s="108" t="str">
        <f>IF(OR('Week 10'!F26=0,'Week 10'!F26=""),"",ROUND('Week 10'!F26*(1+'Week 10'!G26/30),1))</f>
        <v/>
      </c>
      <c r="L82" s="108" t="str">
        <f>IF(OR('Week 11'!F26=0,'Week 11'!F26=""),"",ROUND('Week 11'!F26*(1+'Week 11'!G26/30),1))</f>
        <v/>
      </c>
      <c r="M82" s="108" t="str">
        <f>IF(OR('Week 12'!F26=0,'Week 12'!F26=""),"",ROUND('Week 12'!F26*(1+'Week 12'!G26/30),1))</f>
        <v/>
      </c>
      <c r="N82" s="110">
        <f t="shared" si="4"/>
        <v>60</v>
      </c>
      <c r="O82" s="111">
        <f t="shared" si="5"/>
        <v>1</v>
      </c>
    </row>
    <row r="83" spans="1:15" ht="13" x14ac:dyDescent="0.3">
      <c r="A83" s="109" t="s">
        <v>251</v>
      </c>
      <c r="B83" s="108" t="str">
        <f>IF(OR('Week 1'!F27=0,'Week 1'!F27=""),"",ROUND('Week 1'!F27*(1+'Week 1'!G27/30),1))</f>
        <v/>
      </c>
      <c r="C83" s="108" t="str">
        <f>IF(OR('Week 2'!F27=0,'Week 2'!F27=""),"",ROUND('Week 2'!F27*(1+'Week 2'!G27/30),1))</f>
        <v/>
      </c>
      <c r="D83" s="108" t="str">
        <f>IF(OR('Week 3'!F27=0,'Week 3'!F27=""),"",ROUND('Week 3'!F27*(1+'Week 3'!G27/30),1))</f>
        <v/>
      </c>
      <c r="E83" s="108" t="str">
        <f>IF(OR('Week 4'!F27=0,'Week 4'!F27=""),"",ROUND('Week 4'!F27*(1+'Week 4'!G27/30),1))</f>
        <v/>
      </c>
      <c r="F83" s="108" t="str">
        <f>IF(OR('Week 5'!F27=0,'Week 5'!F27=""),"",ROUND('Week 5'!F27*(1+'Week 5'!G27/30),1))</f>
        <v/>
      </c>
      <c r="G83" s="108" t="str">
        <f>IF(OR('Week 6'!F27=0,'Week 6'!F27=""),"",ROUND('Week 6'!F27*(1+'Week 6'!G27/30),1))</f>
        <v/>
      </c>
      <c r="H83" s="108" t="str">
        <f>IF(OR('Week 7'!F27=0,'Week 7'!F27=""),"",ROUND('Week 7'!F27*(1+'Week 7'!G27/30),1))</f>
        <v/>
      </c>
      <c r="I83" s="108" t="str">
        <f>IF(OR('Week 8'!F27=0,'Week 8'!F27=""),"",ROUND('Week 8'!F27*(1+'Week 8'!G27/30),1))</f>
        <v/>
      </c>
      <c r="J83" s="108" t="str">
        <f>IF(OR('Week 9'!F27=0,'Week 9'!F27=""),"",ROUND('Week 9'!F27*(1+'Week 9'!G27/30),1))</f>
        <v/>
      </c>
      <c r="K83" s="108" t="str">
        <f>IF(OR('Week 10'!F27=0,'Week 10'!F27=""),"",ROUND('Week 10'!F27*(1+'Week 10'!G27/30),1))</f>
        <v/>
      </c>
      <c r="L83" s="108" t="str">
        <f>IF(OR('Week 11'!F27=0,'Week 11'!F27=""),"",ROUND('Week 11'!F27*(1+'Week 11'!G27/30),1))</f>
        <v/>
      </c>
      <c r="M83" s="108" t="str">
        <f>IF(OR('Week 12'!F27=0,'Week 12'!F27=""),"",ROUND('Week 12'!F27*(1+'Week 12'!G27/30),1))</f>
        <v/>
      </c>
      <c r="N83" s="110" t="str">
        <f t="shared" si="4"/>
        <v/>
      </c>
      <c r="O83" s="111" t="str">
        <f t="shared" si="5"/>
        <v/>
      </c>
    </row>
    <row r="84" spans="1:15" ht="13" x14ac:dyDescent="0.3">
      <c r="A84" s="109" t="s">
        <v>96</v>
      </c>
      <c r="B84" s="108">
        <f>IF(OR('Week 1'!F31=0,'Week 1'!F31=""),"",ROUND('Week 1'!F31*(1+'Week 1'!G31/30),1))</f>
        <v>25.3</v>
      </c>
      <c r="C84" s="108" t="str">
        <f>IF(OR('Week 2'!F31=0,'Week 2'!F31=""),"",ROUND('Week 2'!F31*(1+'Week 2'!G31/30),1))</f>
        <v/>
      </c>
      <c r="D84" s="108" t="str">
        <f>IF(OR('Week 3'!F31=0,'Week 3'!F31=""),"",ROUND('Week 3'!F31*(1+'Week 3'!G31/30),1))</f>
        <v/>
      </c>
      <c r="E84" s="108" t="str">
        <f>IF(OR('Week 4'!F31=0,'Week 4'!F31=""),"",ROUND('Week 4'!F31*(1+'Week 4'!G31/30),1))</f>
        <v/>
      </c>
      <c r="F84" s="108" t="str">
        <f>IF(OR('Week 5'!F31=0,'Week 5'!F31=""),"",ROUND('Week 5'!F31*(1+'Week 5'!G31/30),1))</f>
        <v/>
      </c>
      <c r="G84" s="108" t="str">
        <f>IF(OR('Week 6'!F31=0,'Week 6'!F31=""),"",ROUND('Week 6'!F31*(1+'Week 6'!G31/30),1))</f>
        <v/>
      </c>
      <c r="H84" s="108" t="str">
        <f>IF(OR('Week 7'!F31=0,'Week 7'!F31=""),"",ROUND('Week 7'!F31*(1+'Week 7'!G31/30),1))</f>
        <v/>
      </c>
      <c r="I84" s="108" t="str">
        <f>IF(OR('Week 8'!F31=0,'Week 8'!F31=""),"",ROUND('Week 8'!F31*(1+'Week 8'!G31/30),1))</f>
        <v/>
      </c>
      <c r="J84" s="108" t="str">
        <f>IF(OR('Week 9'!F31=0,'Week 9'!F31=""),"",ROUND('Week 9'!F31*(1+'Week 9'!G31/30),1))</f>
        <v/>
      </c>
      <c r="K84" s="108" t="str">
        <f>IF(OR('Week 10'!F31=0,'Week 10'!F31=""),"",ROUND('Week 10'!F31*(1+'Week 10'!G31/30),1))</f>
        <v/>
      </c>
      <c r="L84" s="108" t="str">
        <f>IF(OR('Week 11'!F31=0,'Week 11'!F31=""),"",ROUND('Week 11'!F31*(1+'Week 11'!G31/30),1))</f>
        <v/>
      </c>
      <c r="M84" s="108" t="str">
        <f>IF(OR('Week 12'!F31=0,'Week 12'!F31=""),"",ROUND('Week 12'!F31*(1+'Week 12'!G31/30),1))</f>
        <v/>
      </c>
      <c r="N84" s="110">
        <f t="shared" si="4"/>
        <v>25.3</v>
      </c>
      <c r="O84" s="111">
        <f t="shared" si="5"/>
        <v>1</v>
      </c>
    </row>
    <row r="85" spans="1:15" ht="13" x14ac:dyDescent="0.3">
      <c r="A85" s="109" t="s">
        <v>252</v>
      </c>
      <c r="B85" s="108">
        <f>IF(OR('Week 1'!F32=0,'Week 1'!F32=""),"",ROUND('Week 1'!F32*(1+'Week 1'!G32/30),1))</f>
        <v>31.7</v>
      </c>
      <c r="C85" s="108" t="str">
        <f>IF(OR('Week 2'!F32=0,'Week 2'!F32=""),"",ROUND('Week 2'!F32*(1+'Week 2'!G32/30),1))</f>
        <v/>
      </c>
      <c r="D85" s="108" t="str">
        <f>IF(OR('Week 3'!F32=0,'Week 3'!F32=""),"",ROUND('Week 3'!F32*(1+'Week 3'!G32/30),1))</f>
        <v/>
      </c>
      <c r="E85" s="108" t="str">
        <f>IF(OR('Week 4'!F32=0,'Week 4'!F32=""),"",ROUND('Week 4'!F32*(1+'Week 4'!G32/30),1))</f>
        <v/>
      </c>
      <c r="F85" s="108" t="str">
        <f>IF(OR('Week 5'!F32=0,'Week 5'!F32=""),"",ROUND('Week 5'!F32*(1+'Week 5'!G32/30),1))</f>
        <v/>
      </c>
      <c r="G85" s="108" t="str">
        <f>IF(OR('Week 6'!F32=0,'Week 6'!F32=""),"",ROUND('Week 6'!F32*(1+'Week 6'!G32/30),1))</f>
        <v/>
      </c>
      <c r="H85" s="108" t="str">
        <f>IF(OR('Week 7'!F32=0,'Week 7'!F32=""),"",ROUND('Week 7'!F32*(1+'Week 7'!G32/30),1))</f>
        <v/>
      </c>
      <c r="I85" s="108" t="str">
        <f>IF(OR('Week 8'!F32=0,'Week 8'!F32=""),"",ROUND('Week 8'!F32*(1+'Week 8'!G32/30),1))</f>
        <v/>
      </c>
      <c r="J85" s="108" t="str">
        <f>IF(OR('Week 9'!F32=0,'Week 9'!F32=""),"",ROUND('Week 9'!F32*(1+'Week 9'!G32/30),1))</f>
        <v/>
      </c>
      <c r="K85" s="108" t="str">
        <f>IF(OR('Week 10'!F32=0,'Week 10'!F32=""),"",ROUND('Week 10'!F32*(1+'Week 10'!G32/30),1))</f>
        <v/>
      </c>
      <c r="L85" s="108" t="str">
        <f>IF(OR('Week 11'!F32=0,'Week 11'!F32=""),"",ROUND('Week 11'!F32*(1+'Week 11'!G32/30),1))</f>
        <v/>
      </c>
      <c r="M85" s="108" t="str">
        <f>IF(OR('Week 12'!F32=0,'Week 12'!F32=""),"",ROUND('Week 12'!F32*(1+'Week 12'!G32/30),1))</f>
        <v/>
      </c>
      <c r="N85" s="110">
        <f t="shared" si="4"/>
        <v>31.7</v>
      </c>
      <c r="O85" s="111">
        <f t="shared" si="5"/>
        <v>1</v>
      </c>
    </row>
    <row r="86" spans="1:15" ht="13" x14ac:dyDescent="0.3">
      <c r="A86" s="109" t="s">
        <v>103</v>
      </c>
      <c r="B86" s="108">
        <f>IF(OR('Week 1'!F33=0,'Week 1'!F33=""),"",ROUND('Week 1'!F33*(1+'Week 1'!G33/30),1))</f>
        <v>20</v>
      </c>
      <c r="C86" s="108" t="str">
        <f>IF(OR('Week 2'!F33=0,'Week 2'!F33=""),"",ROUND('Week 2'!F33*(1+'Week 2'!G33/30),1))</f>
        <v/>
      </c>
      <c r="D86" s="108" t="str">
        <f>IF(OR('Week 3'!F33=0,'Week 3'!F33=""),"",ROUND('Week 3'!F33*(1+'Week 3'!G33/30),1))</f>
        <v/>
      </c>
      <c r="E86" s="108" t="str">
        <f>IF(OR('Week 4'!F33=0,'Week 4'!F33=""),"",ROUND('Week 4'!F33*(1+'Week 4'!G33/30),1))</f>
        <v/>
      </c>
      <c r="F86" s="108" t="str">
        <f>IF(OR('Week 5'!F33=0,'Week 5'!F33=""),"",ROUND('Week 5'!F33*(1+'Week 5'!G33/30),1))</f>
        <v/>
      </c>
      <c r="G86" s="108" t="str">
        <f>IF(OR('Week 6'!F33=0,'Week 6'!F33=""),"",ROUND('Week 6'!F33*(1+'Week 6'!G33/30),1))</f>
        <v/>
      </c>
      <c r="H86" s="108" t="str">
        <f>IF(OR('Week 7'!F33=0,'Week 7'!F33=""),"",ROUND('Week 7'!F33*(1+'Week 7'!G33/30),1))</f>
        <v/>
      </c>
      <c r="I86" s="108" t="str">
        <f>IF(OR('Week 8'!F33=0,'Week 8'!F33=""),"",ROUND('Week 8'!F33*(1+'Week 8'!G33/30),1))</f>
        <v/>
      </c>
      <c r="J86" s="108" t="str">
        <f>IF(OR('Week 9'!F33=0,'Week 9'!F33=""),"",ROUND('Week 9'!F33*(1+'Week 9'!G33/30),1))</f>
        <v/>
      </c>
      <c r="K86" s="108" t="str">
        <f>IF(OR('Week 10'!F33=0,'Week 10'!F33=""),"",ROUND('Week 10'!F33*(1+'Week 10'!G33/30),1))</f>
        <v/>
      </c>
      <c r="L86" s="108" t="str">
        <f>IF(OR('Week 11'!F33=0,'Week 11'!F33=""),"",ROUND('Week 11'!F33*(1+'Week 11'!G33/30),1))</f>
        <v/>
      </c>
      <c r="M86" s="108" t="str">
        <f>IF(OR('Week 12'!F33=0,'Week 12'!F33=""),"",ROUND('Week 12'!F33*(1+'Week 12'!G33/30),1))</f>
        <v/>
      </c>
      <c r="N86" s="110">
        <f t="shared" si="4"/>
        <v>20</v>
      </c>
      <c r="O86" s="111">
        <f t="shared" si="5"/>
        <v>1</v>
      </c>
    </row>
    <row r="87" spans="1:15" ht="13" x14ac:dyDescent="0.3">
      <c r="A87" s="109" t="s">
        <v>107</v>
      </c>
      <c r="B87" s="108">
        <f>IF(OR('Week 1'!F34=0,'Week 1'!F34=""),"",ROUND('Week 1'!F34*(1+'Week 1'!G34/30),1))</f>
        <v>16.7</v>
      </c>
      <c r="C87" s="108" t="str">
        <f>IF(OR('Week 2'!F34=0,'Week 2'!F34=""),"",ROUND('Week 2'!F34*(1+'Week 2'!G34/30),1))</f>
        <v/>
      </c>
      <c r="D87" s="108" t="str">
        <f>IF(OR('Week 3'!F34=0,'Week 3'!F34=""),"",ROUND('Week 3'!F34*(1+'Week 3'!G34/30),1))</f>
        <v/>
      </c>
      <c r="E87" s="108" t="str">
        <f>IF(OR('Week 4'!F34=0,'Week 4'!F34=""),"",ROUND('Week 4'!F34*(1+'Week 4'!G34/30),1))</f>
        <v/>
      </c>
      <c r="F87" s="108" t="str">
        <f>IF(OR('Week 5'!F34=0,'Week 5'!F34=""),"",ROUND('Week 5'!F34*(1+'Week 5'!G34/30),1))</f>
        <v/>
      </c>
      <c r="G87" s="108" t="str">
        <f>IF(OR('Week 6'!F34=0,'Week 6'!F34=""),"",ROUND('Week 6'!F34*(1+'Week 6'!G34/30),1))</f>
        <v/>
      </c>
      <c r="H87" s="108" t="str">
        <f>IF(OR('Week 7'!F34=0,'Week 7'!F34=""),"",ROUND('Week 7'!F34*(1+'Week 7'!G34/30),1))</f>
        <v/>
      </c>
      <c r="I87" s="108" t="str">
        <f>IF(OR('Week 8'!F34=0,'Week 8'!F34=""),"",ROUND('Week 8'!F34*(1+'Week 8'!G34/30),1))</f>
        <v/>
      </c>
      <c r="J87" s="108" t="str">
        <f>IF(OR('Week 9'!F34=0,'Week 9'!F34=""),"",ROUND('Week 9'!F34*(1+'Week 9'!G34/30),1))</f>
        <v/>
      </c>
      <c r="K87" s="108" t="str">
        <f>IF(OR('Week 10'!F34=0,'Week 10'!F34=""),"",ROUND('Week 10'!F34*(1+'Week 10'!G34/30),1))</f>
        <v/>
      </c>
      <c r="L87" s="108" t="str">
        <f>IF(OR('Week 11'!F34=0,'Week 11'!F34=""),"",ROUND('Week 11'!F34*(1+'Week 11'!G34/30),1))</f>
        <v/>
      </c>
      <c r="M87" s="108" t="str">
        <f>IF(OR('Week 12'!F34=0,'Week 12'!F34=""),"",ROUND('Week 12'!F34*(1+'Week 12'!G34/30),1))</f>
        <v/>
      </c>
      <c r="N87" s="110">
        <f t="shared" si="4"/>
        <v>16.7</v>
      </c>
      <c r="O87" s="111">
        <f t="shared" si="5"/>
        <v>1</v>
      </c>
    </row>
    <row r="88" spans="1:15" ht="13" x14ac:dyDescent="0.3">
      <c r="A88" s="109" t="s">
        <v>111</v>
      </c>
      <c r="B88" s="108" t="str">
        <f>IF(OR('Week 1'!F35=0,'Week 1'!F35=""),"",ROUND('Week 1'!F35*(1+'Week 1'!G35/30),1))</f>
        <v/>
      </c>
      <c r="C88" s="108" t="str">
        <f>IF(OR('Week 2'!F35=0,'Week 2'!F35=""),"",ROUND('Week 2'!F35*(1+'Week 2'!G35/30),1))</f>
        <v/>
      </c>
      <c r="D88" s="108" t="str">
        <f>IF(OR('Week 3'!F35=0,'Week 3'!F35=""),"",ROUND('Week 3'!F35*(1+'Week 3'!G35/30),1))</f>
        <v/>
      </c>
      <c r="E88" s="108" t="str">
        <f>IF(OR('Week 4'!F35=0,'Week 4'!F35=""),"",ROUND('Week 4'!F35*(1+'Week 4'!G35/30),1))</f>
        <v/>
      </c>
      <c r="F88" s="108" t="str">
        <f>IF(OR('Week 5'!F35=0,'Week 5'!F35=""),"",ROUND('Week 5'!F35*(1+'Week 5'!G35/30),1))</f>
        <v/>
      </c>
      <c r="G88" s="108" t="str">
        <f>IF(OR('Week 6'!F35=0,'Week 6'!F35=""),"",ROUND('Week 6'!F35*(1+'Week 6'!G35/30),1))</f>
        <v/>
      </c>
      <c r="H88" s="108" t="str">
        <f>IF(OR('Week 7'!F35=0,'Week 7'!F35=""),"",ROUND('Week 7'!F35*(1+'Week 7'!G35/30),1))</f>
        <v/>
      </c>
      <c r="I88" s="108" t="str">
        <f>IF(OR('Week 8'!F35=0,'Week 8'!F35=""),"",ROUND('Week 8'!F35*(1+'Week 8'!G35/30),1))</f>
        <v/>
      </c>
      <c r="J88" s="108" t="str">
        <f>IF(OR('Week 9'!F35=0,'Week 9'!F35=""),"",ROUND('Week 9'!F35*(1+'Week 9'!G35/30),1))</f>
        <v/>
      </c>
      <c r="K88" s="108" t="str">
        <f>IF(OR('Week 10'!F35=0,'Week 10'!F35=""),"",ROUND('Week 10'!F35*(1+'Week 10'!G35/30),1))</f>
        <v/>
      </c>
      <c r="L88" s="108" t="str">
        <f>IF(OR('Week 11'!F35=0,'Week 11'!F35=""),"",ROUND('Week 11'!F35*(1+'Week 11'!G35/30),1))</f>
        <v/>
      </c>
      <c r="M88" s="108" t="str">
        <f>IF(OR('Week 12'!F35=0,'Week 12'!F35=""),"",ROUND('Week 12'!F35*(1+'Week 12'!G35/30),1))</f>
        <v/>
      </c>
      <c r="N88" s="110" t="str">
        <f t="shared" si="4"/>
        <v/>
      </c>
      <c r="O88" s="111" t="str">
        <f t="shared" si="5"/>
        <v/>
      </c>
    </row>
    <row r="89" spans="1:15" ht="13" x14ac:dyDescent="0.3">
      <c r="A89" s="109" t="s">
        <v>114</v>
      </c>
      <c r="B89" s="108">
        <f>IF(OR('Week 1'!F36=0,'Week 1'!F36=""),"",ROUND('Week 1'!F36*(1+'Week 1'!G36/30),1))</f>
        <v>26.7</v>
      </c>
      <c r="C89" s="108" t="str">
        <f>IF(OR('Week 2'!F36=0,'Week 2'!F36=""),"",ROUND('Week 2'!F36*(1+'Week 2'!G36/30),1))</f>
        <v/>
      </c>
      <c r="D89" s="108" t="str">
        <f>IF(OR('Week 3'!F36=0,'Week 3'!F36=""),"",ROUND('Week 3'!F36*(1+'Week 3'!G36/30),1))</f>
        <v/>
      </c>
      <c r="E89" s="108" t="str">
        <f>IF(OR('Week 4'!F36=0,'Week 4'!F36=""),"",ROUND('Week 4'!F36*(1+'Week 4'!G36/30),1))</f>
        <v/>
      </c>
      <c r="F89" s="108" t="str">
        <f>IF(OR('Week 5'!F36=0,'Week 5'!F36=""),"",ROUND('Week 5'!F36*(1+'Week 5'!G36/30),1))</f>
        <v/>
      </c>
      <c r="G89" s="108" t="str">
        <f>IF(OR('Week 6'!F36=0,'Week 6'!F36=""),"",ROUND('Week 6'!F36*(1+'Week 6'!G36/30),1))</f>
        <v/>
      </c>
      <c r="H89" s="108" t="str">
        <f>IF(OR('Week 7'!F36=0,'Week 7'!F36=""),"",ROUND('Week 7'!F36*(1+'Week 7'!G36/30),1))</f>
        <v/>
      </c>
      <c r="I89" s="108" t="str">
        <f>IF(OR('Week 8'!F36=0,'Week 8'!F36=""),"",ROUND('Week 8'!F36*(1+'Week 8'!G36/30),1))</f>
        <v/>
      </c>
      <c r="J89" s="108" t="str">
        <f>IF(OR('Week 9'!F36=0,'Week 9'!F36=""),"",ROUND('Week 9'!F36*(1+'Week 9'!G36/30),1))</f>
        <v/>
      </c>
      <c r="K89" s="108" t="str">
        <f>IF(OR('Week 10'!F36=0,'Week 10'!F36=""),"",ROUND('Week 10'!F36*(1+'Week 10'!G36/30),1))</f>
        <v/>
      </c>
      <c r="L89" s="108" t="str">
        <f>IF(OR('Week 11'!F36=0,'Week 11'!F36=""),"",ROUND('Week 11'!F36*(1+'Week 11'!G36/30),1))</f>
        <v/>
      </c>
      <c r="M89" s="108" t="str">
        <f>IF(OR('Week 12'!F36=0,'Week 12'!F36=""),"",ROUND('Week 12'!F36*(1+'Week 12'!G36/30),1))</f>
        <v/>
      </c>
      <c r="N89" s="110">
        <f t="shared" si="4"/>
        <v>26.7</v>
      </c>
      <c r="O89" s="111">
        <f t="shared" si="5"/>
        <v>1</v>
      </c>
    </row>
    <row r="90" spans="1:15" ht="35" customHeight="1" x14ac:dyDescent="0.3">
      <c r="A90" s="109" t="s">
        <v>116</v>
      </c>
      <c r="B90" s="108" t="str">
        <f>IF(OR('Week 1'!F37=0,'Week 1'!F37=""),"",ROUND('Week 1'!F37*(1+'Week 1'!G37/30),1))</f>
        <v/>
      </c>
      <c r="C90" s="108" t="str">
        <f>IF(OR('Week 2'!F37=0,'Week 2'!F37=""),"",ROUND('Week 2'!F37*(1+'Week 2'!G37/30),1))</f>
        <v/>
      </c>
      <c r="D90" s="108" t="str">
        <f>IF(OR('Week 3'!F37=0,'Week 3'!F37=""),"",ROUND('Week 3'!F37*(1+'Week 3'!G37/30),1))</f>
        <v/>
      </c>
      <c r="E90" s="108" t="str">
        <f>IF(OR('Week 4'!F37=0,'Week 4'!F37=""),"",ROUND('Week 4'!F37*(1+'Week 4'!G37/30),1))</f>
        <v/>
      </c>
      <c r="F90" s="108" t="str">
        <f>IF(OR('Week 5'!F37=0,'Week 5'!F37=""),"",ROUND('Week 5'!F37*(1+'Week 5'!G37/30),1))</f>
        <v/>
      </c>
      <c r="G90" s="108" t="str">
        <f>IF(OR('Week 6'!F37=0,'Week 6'!F37=""),"",ROUND('Week 6'!F37*(1+'Week 6'!G37/30),1))</f>
        <v/>
      </c>
      <c r="H90" s="108" t="str">
        <f>IF(OR('Week 7'!F37=0,'Week 7'!F37=""),"",ROUND('Week 7'!F37*(1+'Week 7'!G37/30),1))</f>
        <v/>
      </c>
      <c r="I90" s="108" t="str">
        <f>IF(OR('Week 8'!F37=0,'Week 8'!F37=""),"",ROUND('Week 8'!F37*(1+'Week 8'!G37/30),1))</f>
        <v/>
      </c>
      <c r="J90" s="108" t="str">
        <f>IF(OR('Week 9'!F37=0,'Week 9'!F37=""),"",ROUND('Week 9'!F37*(1+'Week 9'!G37/30),1))</f>
        <v/>
      </c>
      <c r="K90" s="108" t="str">
        <f>IF(OR('Week 10'!F37=0,'Week 10'!F37=""),"",ROUND('Week 10'!F37*(1+'Week 10'!G37/30),1))</f>
        <v/>
      </c>
      <c r="L90" s="108" t="str">
        <f>IF(OR('Week 11'!F37=0,'Week 11'!F37=""),"",ROUND('Week 11'!F37*(1+'Week 11'!G37/30),1))</f>
        <v/>
      </c>
      <c r="M90" s="108" t="str">
        <f>IF(OR('Week 12'!F37=0,'Week 12'!F37=""),"",ROUND('Week 12'!F37*(1+'Week 12'!G37/30),1))</f>
        <v/>
      </c>
      <c r="N90" s="110" t="str">
        <f t="shared" si="4"/>
        <v/>
      </c>
      <c r="O90" s="111" t="str">
        <f t="shared" si="5"/>
        <v/>
      </c>
    </row>
    <row r="91" spans="1:15" ht="13" x14ac:dyDescent="0.3">
      <c r="A91" s="109" t="s">
        <v>253</v>
      </c>
      <c r="B91" s="108" t="str">
        <f>IF(OR('Week 1'!F38=0,'Week 1'!F38=""),"",ROUND('Week 1'!F38*(1+'Week 1'!G38/30),1))</f>
        <v/>
      </c>
      <c r="C91" s="108" t="str">
        <f>IF(OR('Week 2'!F38=0,'Week 2'!F38=""),"",ROUND('Week 2'!F38*(1+'Week 2'!G38/30),1))</f>
        <v/>
      </c>
      <c r="D91" s="108" t="str">
        <f>IF(OR('Week 3'!F38=0,'Week 3'!F38=""),"",ROUND('Week 3'!F38*(1+'Week 3'!G38/30),1))</f>
        <v/>
      </c>
      <c r="E91" s="108" t="str">
        <f>IF(OR('Week 4'!F38=0,'Week 4'!F38=""),"",ROUND('Week 4'!F38*(1+'Week 4'!G38/30),1))</f>
        <v/>
      </c>
      <c r="F91" s="108" t="str">
        <f>IF(OR('Week 5'!F38=0,'Week 5'!F38=""),"",ROUND('Week 5'!F38*(1+'Week 5'!G38/30),1))</f>
        <v/>
      </c>
      <c r="G91" s="108" t="str">
        <f>IF(OR('Week 6'!F38=0,'Week 6'!F38=""),"",ROUND('Week 6'!F38*(1+'Week 6'!G38/30),1))</f>
        <v/>
      </c>
      <c r="H91" s="108" t="str">
        <f>IF(OR('Week 7'!F38=0,'Week 7'!F38=""),"",ROUND('Week 7'!F38*(1+'Week 7'!G38/30),1))</f>
        <v/>
      </c>
      <c r="I91" s="108" t="str">
        <f>IF(OR('Week 8'!F38=0,'Week 8'!F38=""),"",ROUND('Week 8'!F38*(1+'Week 8'!G38/30),1))</f>
        <v/>
      </c>
      <c r="J91" s="108" t="str">
        <f>IF(OR('Week 9'!F38=0,'Week 9'!F38=""),"",ROUND('Week 9'!F38*(1+'Week 9'!G38/30),1))</f>
        <v/>
      </c>
      <c r="K91" s="108" t="str">
        <f>IF(OR('Week 10'!F38=0,'Week 10'!F38=""),"",ROUND('Week 10'!F38*(1+'Week 10'!G38/30),1))</f>
        <v/>
      </c>
      <c r="L91" s="108" t="str">
        <f>IF(OR('Week 11'!F38=0,'Week 11'!F38=""),"",ROUND('Week 11'!F38*(1+'Week 11'!G38/30),1))</f>
        <v/>
      </c>
      <c r="M91" s="108" t="str">
        <f>IF(OR('Week 12'!F38=0,'Week 12'!F38=""),"",ROUND('Week 12'!F38*(1+'Week 12'!G38/30),1))</f>
        <v/>
      </c>
      <c r="N91" s="110" t="str">
        <f t="shared" si="4"/>
        <v/>
      </c>
      <c r="O91" s="111" t="str">
        <f t="shared" si="5"/>
        <v/>
      </c>
    </row>
    <row r="94" spans="1:15" ht="15.5" x14ac:dyDescent="0.35">
      <c r="A94" s="112" t="s">
        <v>254</v>
      </c>
    </row>
    <row r="95" spans="1:15" ht="13" x14ac:dyDescent="0.3">
      <c r="A95" s="95" t="s">
        <v>255</v>
      </c>
    </row>
    <row r="97" spans="1:14" ht="13" x14ac:dyDescent="0.3">
      <c r="A97" s="113" t="s">
        <v>7</v>
      </c>
      <c r="B97" s="113" t="s">
        <v>236</v>
      </c>
      <c r="C97" s="113" t="s">
        <v>237</v>
      </c>
      <c r="D97" s="113" t="s">
        <v>238</v>
      </c>
      <c r="E97" s="113" t="s">
        <v>239</v>
      </c>
      <c r="F97" s="113" t="s">
        <v>240</v>
      </c>
      <c r="G97" s="113" t="s">
        <v>241</v>
      </c>
      <c r="H97" s="113" t="s">
        <v>242</v>
      </c>
      <c r="I97" s="113" t="s">
        <v>243</v>
      </c>
      <c r="J97" s="113" t="s">
        <v>244</v>
      </c>
      <c r="K97" s="113" t="s">
        <v>245</v>
      </c>
      <c r="L97" s="113" t="s">
        <v>246</v>
      </c>
      <c r="M97" s="113" t="s">
        <v>247</v>
      </c>
      <c r="N97" s="113" t="s">
        <v>235</v>
      </c>
    </row>
    <row r="98" spans="1:14" ht="13" x14ac:dyDescent="0.3">
      <c r="A98" s="109" t="s">
        <v>41</v>
      </c>
      <c r="B98" s="108" t="str">
        <f t="shared" ref="B98:B123" si="6">IF(AND(B66&lt;&gt;"",B66&gt;0),"✓","")</f>
        <v/>
      </c>
      <c r="C98" s="108" t="str">
        <f t="shared" ref="C98:C123" si="7">IF(AND(C66&lt;&gt;"",C66&gt;MAX(B66:B66)),"✓","")</f>
        <v/>
      </c>
      <c r="D98" s="108" t="str">
        <f t="shared" ref="D98:D123" si="8">IF(AND(D66&lt;&gt;"",D66&gt;MAX(B66:C66)),"✓","")</f>
        <v/>
      </c>
      <c r="E98" s="108" t="str">
        <f t="shared" ref="E98:E123" si="9">IF(AND(E66&lt;&gt;"",E66&gt;MAX(B66:D66)),"✓","")</f>
        <v/>
      </c>
      <c r="F98" s="108" t="str">
        <f t="shared" ref="F98:F123" si="10">IF(AND(F66&lt;&gt;"",F66&gt;MAX(B66:E66)),"✓","")</f>
        <v/>
      </c>
      <c r="G98" s="108" t="str">
        <f t="shared" ref="G98:G123" si="11">IF(AND(G66&lt;&gt;"",G66&gt;MAX(B66:F66)),"✓","")</f>
        <v/>
      </c>
      <c r="H98" s="108" t="str">
        <f t="shared" ref="H98:H123" si="12">IF(AND(H66&lt;&gt;"",H66&gt;MAX(B66:G66)),"✓","")</f>
        <v/>
      </c>
      <c r="I98" s="108" t="str">
        <f t="shared" ref="I98:I123" si="13">IF(AND(I66&lt;&gt;"",I66&gt;MAX(B66:H66)),"✓","")</f>
        <v/>
      </c>
      <c r="J98" s="108" t="str">
        <f t="shared" ref="J98:J123" si="14">IF(AND(J66&lt;&gt;"",J66&gt;MAX(B66:I66)),"✓","")</f>
        <v/>
      </c>
      <c r="K98" s="108" t="str">
        <f t="shared" ref="K98:K123" si="15">IF(AND(K66&lt;&gt;"",K66&gt;MAX(B66:J66)),"✓","")</f>
        <v/>
      </c>
      <c r="L98" s="108" t="str">
        <f t="shared" ref="L98:L123" si="16">IF(AND(L66&lt;&gt;"",L66&gt;MAX(B66:K66)),"✓","")</f>
        <v/>
      </c>
      <c r="M98" s="108" t="str">
        <f t="shared" ref="M98:M123" si="17">IF(AND(M66&lt;&gt;"",M66&gt;MAX(B66:L66)),"✓","")</f>
        <v/>
      </c>
      <c r="N98" s="111">
        <f t="shared" ref="N98:N123" si="18">COUNTIF(B98:M98,"✓")</f>
        <v>0</v>
      </c>
    </row>
    <row r="99" spans="1:14" ht="13" x14ac:dyDescent="0.3">
      <c r="A99" s="109" t="s">
        <v>148</v>
      </c>
      <c r="B99" s="108" t="str">
        <f t="shared" si="6"/>
        <v>✓</v>
      </c>
      <c r="C99" s="108" t="str">
        <f t="shared" si="7"/>
        <v/>
      </c>
      <c r="D99" s="108" t="str">
        <f t="shared" si="8"/>
        <v/>
      </c>
      <c r="E99" s="108" t="str">
        <f t="shared" si="9"/>
        <v/>
      </c>
      <c r="F99" s="108" t="str">
        <f t="shared" si="10"/>
        <v/>
      </c>
      <c r="G99" s="108" t="str">
        <f t="shared" si="11"/>
        <v/>
      </c>
      <c r="H99" s="108" t="str">
        <f t="shared" si="12"/>
        <v/>
      </c>
      <c r="I99" s="108" t="str">
        <f t="shared" si="13"/>
        <v/>
      </c>
      <c r="J99" s="108" t="str">
        <f t="shared" si="14"/>
        <v/>
      </c>
      <c r="K99" s="108" t="str">
        <f t="shared" si="15"/>
        <v/>
      </c>
      <c r="L99" s="108" t="str">
        <f t="shared" si="16"/>
        <v/>
      </c>
      <c r="M99" s="108" t="str">
        <f t="shared" si="17"/>
        <v/>
      </c>
      <c r="N99" s="111">
        <f t="shared" si="18"/>
        <v>1</v>
      </c>
    </row>
    <row r="100" spans="1:14" ht="13" x14ac:dyDescent="0.3">
      <c r="A100" s="109" t="s">
        <v>28</v>
      </c>
      <c r="B100" s="108" t="str">
        <f t="shared" si="6"/>
        <v>✓</v>
      </c>
      <c r="C100" s="108" t="str">
        <f t="shared" si="7"/>
        <v/>
      </c>
      <c r="D100" s="108" t="str">
        <f t="shared" si="8"/>
        <v/>
      </c>
      <c r="E100" s="108" t="str">
        <f t="shared" si="9"/>
        <v/>
      </c>
      <c r="F100" s="108" t="str">
        <f t="shared" si="10"/>
        <v/>
      </c>
      <c r="G100" s="108" t="str">
        <f t="shared" si="11"/>
        <v/>
      </c>
      <c r="H100" s="108" t="str">
        <f t="shared" si="12"/>
        <v/>
      </c>
      <c r="I100" s="108" t="str">
        <f t="shared" si="13"/>
        <v/>
      </c>
      <c r="J100" s="108" t="str">
        <f t="shared" si="14"/>
        <v/>
      </c>
      <c r="K100" s="108" t="str">
        <f t="shared" si="15"/>
        <v/>
      </c>
      <c r="L100" s="108" t="str">
        <f t="shared" si="16"/>
        <v/>
      </c>
      <c r="M100" s="108" t="str">
        <f t="shared" si="17"/>
        <v/>
      </c>
      <c r="N100" s="111">
        <f t="shared" si="18"/>
        <v>1</v>
      </c>
    </row>
    <row r="101" spans="1:14" ht="13" x14ac:dyDescent="0.3">
      <c r="A101" s="109" t="s">
        <v>31</v>
      </c>
      <c r="B101" s="108" t="str">
        <f t="shared" si="6"/>
        <v>✓</v>
      </c>
      <c r="C101" s="108" t="str">
        <f t="shared" si="7"/>
        <v/>
      </c>
      <c r="D101" s="108" t="str">
        <f t="shared" si="8"/>
        <v/>
      </c>
      <c r="E101" s="108" t="str">
        <f t="shared" si="9"/>
        <v/>
      </c>
      <c r="F101" s="108" t="str">
        <f t="shared" si="10"/>
        <v/>
      </c>
      <c r="G101" s="108" t="str">
        <f t="shared" si="11"/>
        <v/>
      </c>
      <c r="H101" s="108" t="str">
        <f t="shared" si="12"/>
        <v/>
      </c>
      <c r="I101" s="108" t="str">
        <f t="shared" si="13"/>
        <v/>
      </c>
      <c r="J101" s="108" t="str">
        <f t="shared" si="14"/>
        <v/>
      </c>
      <c r="K101" s="108" t="str">
        <f t="shared" si="15"/>
        <v/>
      </c>
      <c r="L101" s="108" t="str">
        <f t="shared" si="16"/>
        <v/>
      </c>
      <c r="M101" s="108" t="str">
        <f t="shared" si="17"/>
        <v/>
      </c>
      <c r="N101" s="111">
        <f t="shared" si="18"/>
        <v>1</v>
      </c>
    </row>
    <row r="102" spans="1:14" ht="13" x14ac:dyDescent="0.3">
      <c r="A102" s="109" t="s">
        <v>36</v>
      </c>
      <c r="B102" s="108" t="str">
        <f t="shared" si="6"/>
        <v>✓</v>
      </c>
      <c r="C102" s="108" t="str">
        <f t="shared" si="7"/>
        <v/>
      </c>
      <c r="D102" s="108" t="str">
        <f t="shared" si="8"/>
        <v/>
      </c>
      <c r="E102" s="108" t="str">
        <f t="shared" si="9"/>
        <v/>
      </c>
      <c r="F102" s="108" t="str">
        <f t="shared" si="10"/>
        <v/>
      </c>
      <c r="G102" s="108" t="str">
        <f t="shared" si="11"/>
        <v/>
      </c>
      <c r="H102" s="108" t="str">
        <f t="shared" si="12"/>
        <v/>
      </c>
      <c r="I102" s="108" t="str">
        <f t="shared" si="13"/>
        <v/>
      </c>
      <c r="J102" s="108" t="str">
        <f t="shared" si="14"/>
        <v/>
      </c>
      <c r="K102" s="108" t="str">
        <f t="shared" si="15"/>
        <v/>
      </c>
      <c r="L102" s="108" t="str">
        <f t="shared" si="16"/>
        <v/>
      </c>
      <c r="M102" s="108" t="str">
        <f t="shared" si="17"/>
        <v/>
      </c>
      <c r="N102" s="111">
        <f t="shared" si="18"/>
        <v>1</v>
      </c>
    </row>
    <row r="103" spans="1:14" ht="13" x14ac:dyDescent="0.3">
      <c r="A103" s="109" t="s">
        <v>250</v>
      </c>
      <c r="B103" s="108" t="str">
        <f t="shared" si="6"/>
        <v>✓</v>
      </c>
      <c r="C103" s="108" t="str">
        <f t="shared" si="7"/>
        <v/>
      </c>
      <c r="D103" s="108" t="str">
        <f t="shared" si="8"/>
        <v/>
      </c>
      <c r="E103" s="108" t="str">
        <f t="shared" si="9"/>
        <v/>
      </c>
      <c r="F103" s="108" t="str">
        <f t="shared" si="10"/>
        <v/>
      </c>
      <c r="G103" s="108" t="str">
        <f t="shared" si="11"/>
        <v/>
      </c>
      <c r="H103" s="108" t="str">
        <f t="shared" si="12"/>
        <v/>
      </c>
      <c r="I103" s="108" t="str">
        <f t="shared" si="13"/>
        <v/>
      </c>
      <c r="J103" s="108" t="str">
        <f t="shared" si="14"/>
        <v/>
      </c>
      <c r="K103" s="108" t="str">
        <f t="shared" si="15"/>
        <v/>
      </c>
      <c r="L103" s="108" t="str">
        <f t="shared" si="16"/>
        <v/>
      </c>
      <c r="M103" s="108" t="str">
        <f t="shared" si="17"/>
        <v/>
      </c>
      <c r="N103" s="111">
        <f t="shared" si="18"/>
        <v>1</v>
      </c>
    </row>
    <row r="104" spans="1:14" ht="13" x14ac:dyDescent="0.3">
      <c r="A104" s="109" t="s">
        <v>56</v>
      </c>
      <c r="B104" s="108" t="str">
        <f t="shared" si="6"/>
        <v>✓</v>
      </c>
      <c r="C104" s="108" t="str">
        <f t="shared" si="7"/>
        <v/>
      </c>
      <c r="D104" s="108" t="str">
        <f t="shared" si="8"/>
        <v/>
      </c>
      <c r="E104" s="108" t="str">
        <f t="shared" si="9"/>
        <v/>
      </c>
      <c r="F104" s="108" t="str">
        <f t="shared" si="10"/>
        <v/>
      </c>
      <c r="G104" s="108" t="str">
        <f t="shared" si="11"/>
        <v/>
      </c>
      <c r="H104" s="108" t="str">
        <f t="shared" si="12"/>
        <v/>
      </c>
      <c r="I104" s="108" t="str">
        <f t="shared" si="13"/>
        <v/>
      </c>
      <c r="J104" s="108" t="str">
        <f t="shared" si="14"/>
        <v/>
      </c>
      <c r="K104" s="108" t="str">
        <f t="shared" si="15"/>
        <v/>
      </c>
      <c r="L104" s="108" t="str">
        <f t="shared" si="16"/>
        <v/>
      </c>
      <c r="M104" s="108" t="str">
        <f t="shared" si="17"/>
        <v/>
      </c>
      <c r="N104" s="111">
        <f t="shared" si="18"/>
        <v>1</v>
      </c>
    </row>
    <row r="105" spans="1:14" ht="13" x14ac:dyDescent="0.3">
      <c r="A105" s="109" t="s">
        <v>59</v>
      </c>
      <c r="B105" s="108" t="str">
        <f t="shared" si="6"/>
        <v>✓</v>
      </c>
      <c r="C105" s="108" t="str">
        <f t="shared" si="7"/>
        <v/>
      </c>
      <c r="D105" s="108" t="str">
        <f t="shared" si="8"/>
        <v/>
      </c>
      <c r="E105" s="108" t="str">
        <f t="shared" si="9"/>
        <v/>
      </c>
      <c r="F105" s="108" t="str">
        <f t="shared" si="10"/>
        <v/>
      </c>
      <c r="G105" s="108" t="str">
        <f t="shared" si="11"/>
        <v/>
      </c>
      <c r="H105" s="108" t="str">
        <f t="shared" si="12"/>
        <v/>
      </c>
      <c r="I105" s="108" t="str">
        <f t="shared" si="13"/>
        <v/>
      </c>
      <c r="J105" s="108" t="str">
        <f t="shared" si="14"/>
        <v/>
      </c>
      <c r="K105" s="108" t="str">
        <f t="shared" si="15"/>
        <v/>
      </c>
      <c r="L105" s="108" t="str">
        <f t="shared" si="16"/>
        <v/>
      </c>
      <c r="M105" s="108" t="str">
        <f t="shared" si="17"/>
        <v/>
      </c>
      <c r="N105" s="111">
        <f t="shared" si="18"/>
        <v>1</v>
      </c>
    </row>
    <row r="106" spans="1:14" ht="13" x14ac:dyDescent="0.3">
      <c r="A106" s="109" t="s">
        <v>64</v>
      </c>
      <c r="B106" s="108" t="str">
        <f t="shared" si="6"/>
        <v>✓</v>
      </c>
      <c r="C106" s="108" t="str">
        <f t="shared" si="7"/>
        <v/>
      </c>
      <c r="D106" s="108" t="str">
        <f t="shared" si="8"/>
        <v/>
      </c>
      <c r="E106" s="108" t="str">
        <f t="shared" si="9"/>
        <v/>
      </c>
      <c r="F106" s="108" t="str">
        <f t="shared" si="10"/>
        <v/>
      </c>
      <c r="G106" s="108" t="str">
        <f t="shared" si="11"/>
        <v/>
      </c>
      <c r="H106" s="108" t="str">
        <f t="shared" si="12"/>
        <v/>
      </c>
      <c r="I106" s="108" t="str">
        <f t="shared" si="13"/>
        <v/>
      </c>
      <c r="J106" s="108" t="str">
        <f t="shared" si="14"/>
        <v/>
      </c>
      <c r="K106" s="108" t="str">
        <f t="shared" si="15"/>
        <v/>
      </c>
      <c r="L106" s="108" t="str">
        <f t="shared" si="16"/>
        <v/>
      </c>
      <c r="M106" s="108" t="str">
        <f t="shared" si="17"/>
        <v/>
      </c>
      <c r="N106" s="111">
        <f t="shared" si="18"/>
        <v>1</v>
      </c>
    </row>
    <row r="107" spans="1:14" ht="13" x14ac:dyDescent="0.3">
      <c r="A107" s="109" t="s">
        <v>67</v>
      </c>
      <c r="B107" s="108" t="str">
        <f t="shared" si="6"/>
        <v>✓</v>
      </c>
      <c r="C107" s="108" t="str">
        <f t="shared" si="7"/>
        <v/>
      </c>
      <c r="D107" s="108" t="str">
        <f t="shared" si="8"/>
        <v/>
      </c>
      <c r="E107" s="108" t="str">
        <f t="shared" si="9"/>
        <v/>
      </c>
      <c r="F107" s="108" t="str">
        <f t="shared" si="10"/>
        <v/>
      </c>
      <c r="G107" s="108" t="str">
        <f t="shared" si="11"/>
        <v/>
      </c>
      <c r="H107" s="108" t="str">
        <f t="shared" si="12"/>
        <v/>
      </c>
      <c r="I107" s="108" t="str">
        <f t="shared" si="13"/>
        <v/>
      </c>
      <c r="J107" s="108" t="str">
        <f t="shared" si="14"/>
        <v/>
      </c>
      <c r="K107" s="108" t="str">
        <f t="shared" si="15"/>
        <v/>
      </c>
      <c r="L107" s="108" t="str">
        <f t="shared" si="16"/>
        <v/>
      </c>
      <c r="M107" s="108" t="str">
        <f t="shared" si="17"/>
        <v/>
      </c>
      <c r="N107" s="111">
        <f t="shared" si="18"/>
        <v>1</v>
      </c>
    </row>
    <row r="108" spans="1:14" ht="13" x14ac:dyDescent="0.3">
      <c r="A108" s="109" t="s">
        <v>71</v>
      </c>
      <c r="B108" s="108" t="str">
        <f t="shared" si="6"/>
        <v>✓</v>
      </c>
      <c r="C108" s="108" t="str">
        <f t="shared" si="7"/>
        <v/>
      </c>
      <c r="D108" s="108" t="str">
        <f t="shared" si="8"/>
        <v/>
      </c>
      <c r="E108" s="108" t="str">
        <f t="shared" si="9"/>
        <v/>
      </c>
      <c r="F108" s="108" t="str">
        <f t="shared" si="10"/>
        <v/>
      </c>
      <c r="G108" s="108" t="str">
        <f t="shared" si="11"/>
        <v/>
      </c>
      <c r="H108" s="108" t="str">
        <f t="shared" si="12"/>
        <v/>
      </c>
      <c r="I108" s="108" t="str">
        <f t="shared" si="13"/>
        <v/>
      </c>
      <c r="J108" s="108" t="str">
        <f t="shared" si="14"/>
        <v/>
      </c>
      <c r="K108" s="108" t="str">
        <f t="shared" si="15"/>
        <v/>
      </c>
      <c r="L108" s="108" t="str">
        <f t="shared" si="16"/>
        <v/>
      </c>
      <c r="M108" s="108" t="str">
        <f t="shared" si="17"/>
        <v/>
      </c>
      <c r="N108" s="111">
        <f t="shared" si="18"/>
        <v>1</v>
      </c>
    </row>
    <row r="109" spans="1:14" ht="13" x14ac:dyDescent="0.3">
      <c r="A109" s="109" t="s">
        <v>74</v>
      </c>
      <c r="B109" s="108" t="str">
        <f t="shared" si="6"/>
        <v/>
      </c>
      <c r="C109" s="108" t="str">
        <f t="shared" si="7"/>
        <v/>
      </c>
      <c r="D109" s="108" t="str">
        <f t="shared" si="8"/>
        <v/>
      </c>
      <c r="E109" s="108" t="str">
        <f t="shared" si="9"/>
        <v/>
      </c>
      <c r="F109" s="108" t="str">
        <f t="shared" si="10"/>
        <v/>
      </c>
      <c r="G109" s="108" t="str">
        <f t="shared" si="11"/>
        <v/>
      </c>
      <c r="H109" s="108" t="str">
        <f t="shared" si="12"/>
        <v/>
      </c>
      <c r="I109" s="108" t="str">
        <f t="shared" si="13"/>
        <v/>
      </c>
      <c r="J109" s="108" t="str">
        <f t="shared" si="14"/>
        <v/>
      </c>
      <c r="K109" s="108" t="str">
        <f t="shared" si="15"/>
        <v/>
      </c>
      <c r="L109" s="108" t="str">
        <f t="shared" si="16"/>
        <v/>
      </c>
      <c r="M109" s="108" t="str">
        <f t="shared" si="17"/>
        <v/>
      </c>
      <c r="N109" s="111">
        <f t="shared" si="18"/>
        <v>0</v>
      </c>
    </row>
    <row r="110" spans="1:14" ht="13" x14ac:dyDescent="0.3">
      <c r="A110" s="109" t="s">
        <v>80</v>
      </c>
      <c r="B110" s="108" t="str">
        <f t="shared" si="6"/>
        <v/>
      </c>
      <c r="C110" s="108" t="str">
        <f t="shared" si="7"/>
        <v/>
      </c>
      <c r="D110" s="108" t="str">
        <f t="shared" si="8"/>
        <v/>
      </c>
      <c r="E110" s="108" t="str">
        <f t="shared" si="9"/>
        <v/>
      </c>
      <c r="F110" s="108" t="str">
        <f t="shared" si="10"/>
        <v/>
      </c>
      <c r="G110" s="108" t="str">
        <f t="shared" si="11"/>
        <v/>
      </c>
      <c r="H110" s="108" t="str">
        <f t="shared" si="12"/>
        <v/>
      </c>
      <c r="I110" s="108" t="str">
        <f t="shared" si="13"/>
        <v/>
      </c>
      <c r="J110" s="108" t="str">
        <f t="shared" si="14"/>
        <v/>
      </c>
      <c r="K110" s="108" t="str">
        <f t="shared" si="15"/>
        <v/>
      </c>
      <c r="L110" s="108" t="str">
        <f t="shared" si="16"/>
        <v/>
      </c>
      <c r="M110" s="108" t="str">
        <f t="shared" si="17"/>
        <v/>
      </c>
      <c r="N110" s="111">
        <f t="shared" si="18"/>
        <v>0</v>
      </c>
    </row>
    <row r="111" spans="1:14" ht="13" x14ac:dyDescent="0.3">
      <c r="A111" s="109" t="s">
        <v>48</v>
      </c>
      <c r="B111" s="108" t="str">
        <f t="shared" si="6"/>
        <v>✓</v>
      </c>
      <c r="C111" s="108" t="str">
        <f t="shared" si="7"/>
        <v/>
      </c>
      <c r="D111" s="108" t="str">
        <f t="shared" si="8"/>
        <v/>
      </c>
      <c r="E111" s="108" t="str">
        <f t="shared" si="9"/>
        <v/>
      </c>
      <c r="F111" s="108" t="str">
        <f t="shared" si="10"/>
        <v/>
      </c>
      <c r="G111" s="108" t="str">
        <f t="shared" si="11"/>
        <v/>
      </c>
      <c r="H111" s="108" t="str">
        <f t="shared" si="12"/>
        <v/>
      </c>
      <c r="I111" s="108" t="str">
        <f t="shared" si="13"/>
        <v/>
      </c>
      <c r="J111" s="108" t="str">
        <f t="shared" si="14"/>
        <v/>
      </c>
      <c r="K111" s="108" t="str">
        <f t="shared" si="15"/>
        <v/>
      </c>
      <c r="L111" s="108" t="str">
        <f t="shared" si="16"/>
        <v/>
      </c>
      <c r="M111" s="108" t="str">
        <f t="shared" si="17"/>
        <v/>
      </c>
      <c r="N111" s="111">
        <f t="shared" si="18"/>
        <v>1</v>
      </c>
    </row>
    <row r="112" spans="1:14" ht="13" x14ac:dyDescent="0.3">
      <c r="A112" s="109" t="s">
        <v>82</v>
      </c>
      <c r="B112" s="108" t="str">
        <f t="shared" si="6"/>
        <v/>
      </c>
      <c r="C112" s="108" t="str">
        <f t="shared" si="7"/>
        <v/>
      </c>
      <c r="D112" s="108" t="str">
        <f t="shared" si="8"/>
        <v/>
      </c>
      <c r="E112" s="108" t="str">
        <f t="shared" si="9"/>
        <v/>
      </c>
      <c r="F112" s="108" t="str">
        <f t="shared" si="10"/>
        <v/>
      </c>
      <c r="G112" s="108" t="str">
        <f t="shared" si="11"/>
        <v/>
      </c>
      <c r="H112" s="108" t="str">
        <f t="shared" si="12"/>
        <v/>
      </c>
      <c r="I112" s="108" t="str">
        <f t="shared" si="13"/>
        <v/>
      </c>
      <c r="J112" s="108" t="str">
        <f t="shared" si="14"/>
        <v/>
      </c>
      <c r="K112" s="108" t="str">
        <f t="shared" si="15"/>
        <v/>
      </c>
      <c r="L112" s="108" t="str">
        <f t="shared" si="16"/>
        <v/>
      </c>
      <c r="M112" s="108" t="str">
        <f t="shared" si="17"/>
        <v/>
      </c>
      <c r="N112" s="111">
        <f t="shared" si="18"/>
        <v>0</v>
      </c>
    </row>
    <row r="113" spans="1:14" ht="13" x14ac:dyDescent="0.3">
      <c r="A113" s="109" t="s">
        <v>86</v>
      </c>
      <c r="B113" s="108" t="str">
        <f t="shared" si="6"/>
        <v>✓</v>
      </c>
      <c r="C113" s="108" t="str">
        <f t="shared" si="7"/>
        <v/>
      </c>
      <c r="D113" s="108" t="str">
        <f t="shared" si="8"/>
        <v/>
      </c>
      <c r="E113" s="108" t="str">
        <f t="shared" si="9"/>
        <v/>
      </c>
      <c r="F113" s="108" t="str">
        <f t="shared" si="10"/>
        <v/>
      </c>
      <c r="G113" s="108" t="str">
        <f t="shared" si="11"/>
        <v/>
      </c>
      <c r="H113" s="108" t="str">
        <f t="shared" si="12"/>
        <v/>
      </c>
      <c r="I113" s="108" t="str">
        <f t="shared" si="13"/>
        <v/>
      </c>
      <c r="J113" s="108" t="str">
        <f t="shared" si="14"/>
        <v/>
      </c>
      <c r="K113" s="108" t="str">
        <f t="shared" si="15"/>
        <v/>
      </c>
      <c r="L113" s="108" t="str">
        <f t="shared" si="16"/>
        <v/>
      </c>
      <c r="M113" s="108" t="str">
        <f t="shared" si="17"/>
        <v/>
      </c>
      <c r="N113" s="111">
        <f t="shared" si="18"/>
        <v>1</v>
      </c>
    </row>
    <row r="114" spans="1:14" ht="13" x14ac:dyDescent="0.3">
      <c r="A114" s="109" t="s">
        <v>90</v>
      </c>
      <c r="B114" s="108" t="str">
        <f t="shared" si="6"/>
        <v>✓</v>
      </c>
      <c r="C114" s="108" t="str">
        <f t="shared" si="7"/>
        <v/>
      </c>
      <c r="D114" s="108" t="str">
        <f t="shared" si="8"/>
        <v/>
      </c>
      <c r="E114" s="108" t="str">
        <f t="shared" si="9"/>
        <v/>
      </c>
      <c r="F114" s="108" t="str">
        <f t="shared" si="10"/>
        <v/>
      </c>
      <c r="G114" s="108" t="str">
        <f t="shared" si="11"/>
        <v/>
      </c>
      <c r="H114" s="108" t="str">
        <f t="shared" si="12"/>
        <v/>
      </c>
      <c r="I114" s="108" t="str">
        <f t="shared" si="13"/>
        <v/>
      </c>
      <c r="J114" s="108" t="str">
        <f t="shared" si="14"/>
        <v/>
      </c>
      <c r="K114" s="108" t="str">
        <f t="shared" si="15"/>
        <v/>
      </c>
      <c r="L114" s="108" t="str">
        <f t="shared" si="16"/>
        <v/>
      </c>
      <c r="M114" s="108" t="str">
        <f t="shared" si="17"/>
        <v/>
      </c>
      <c r="N114" s="111">
        <f t="shared" si="18"/>
        <v>1</v>
      </c>
    </row>
    <row r="115" spans="1:14" ht="13" x14ac:dyDescent="0.3">
      <c r="A115" s="109" t="s">
        <v>251</v>
      </c>
      <c r="B115" s="108" t="str">
        <f t="shared" si="6"/>
        <v/>
      </c>
      <c r="C115" s="108" t="str">
        <f t="shared" si="7"/>
        <v/>
      </c>
      <c r="D115" s="108" t="str">
        <f t="shared" si="8"/>
        <v/>
      </c>
      <c r="E115" s="108" t="str">
        <f t="shared" si="9"/>
        <v/>
      </c>
      <c r="F115" s="108" t="str">
        <f t="shared" si="10"/>
        <v/>
      </c>
      <c r="G115" s="108" t="str">
        <f t="shared" si="11"/>
        <v/>
      </c>
      <c r="H115" s="108" t="str">
        <f t="shared" si="12"/>
        <v/>
      </c>
      <c r="I115" s="108" t="str">
        <f t="shared" si="13"/>
        <v/>
      </c>
      <c r="J115" s="108" t="str">
        <f t="shared" si="14"/>
        <v/>
      </c>
      <c r="K115" s="108" t="str">
        <f t="shared" si="15"/>
        <v/>
      </c>
      <c r="L115" s="108" t="str">
        <f t="shared" si="16"/>
        <v/>
      </c>
      <c r="M115" s="108" t="str">
        <f t="shared" si="17"/>
        <v/>
      </c>
      <c r="N115" s="111">
        <f t="shared" si="18"/>
        <v>0</v>
      </c>
    </row>
    <row r="116" spans="1:14" ht="13" x14ac:dyDescent="0.3">
      <c r="A116" s="109" t="s">
        <v>96</v>
      </c>
      <c r="B116" s="108" t="str">
        <f t="shared" si="6"/>
        <v>✓</v>
      </c>
      <c r="C116" s="108" t="str">
        <f t="shared" si="7"/>
        <v/>
      </c>
      <c r="D116" s="108" t="str">
        <f t="shared" si="8"/>
        <v/>
      </c>
      <c r="E116" s="108" t="str">
        <f t="shared" si="9"/>
        <v/>
      </c>
      <c r="F116" s="108" t="str">
        <f t="shared" si="10"/>
        <v/>
      </c>
      <c r="G116" s="108" t="str">
        <f t="shared" si="11"/>
        <v/>
      </c>
      <c r="H116" s="108" t="str">
        <f t="shared" si="12"/>
        <v/>
      </c>
      <c r="I116" s="108" t="str">
        <f t="shared" si="13"/>
        <v/>
      </c>
      <c r="J116" s="108" t="str">
        <f t="shared" si="14"/>
        <v/>
      </c>
      <c r="K116" s="108" t="str">
        <f t="shared" si="15"/>
        <v/>
      </c>
      <c r="L116" s="108" t="str">
        <f t="shared" si="16"/>
        <v/>
      </c>
      <c r="M116" s="108" t="str">
        <f t="shared" si="17"/>
        <v/>
      </c>
      <c r="N116" s="111">
        <f t="shared" si="18"/>
        <v>1</v>
      </c>
    </row>
    <row r="117" spans="1:14" ht="13" x14ac:dyDescent="0.3">
      <c r="A117" s="109" t="s">
        <v>252</v>
      </c>
      <c r="B117" s="108" t="str">
        <f t="shared" si="6"/>
        <v>✓</v>
      </c>
      <c r="C117" s="108" t="str">
        <f t="shared" si="7"/>
        <v/>
      </c>
      <c r="D117" s="108" t="str">
        <f t="shared" si="8"/>
        <v/>
      </c>
      <c r="E117" s="108" t="str">
        <f t="shared" si="9"/>
        <v/>
      </c>
      <c r="F117" s="108" t="str">
        <f t="shared" si="10"/>
        <v/>
      </c>
      <c r="G117" s="108" t="str">
        <f t="shared" si="11"/>
        <v/>
      </c>
      <c r="H117" s="108" t="str">
        <f t="shared" si="12"/>
        <v/>
      </c>
      <c r="I117" s="108" t="str">
        <f t="shared" si="13"/>
        <v/>
      </c>
      <c r="J117" s="108" t="str">
        <f t="shared" si="14"/>
        <v/>
      </c>
      <c r="K117" s="108" t="str">
        <f t="shared" si="15"/>
        <v/>
      </c>
      <c r="L117" s="108" t="str">
        <f t="shared" si="16"/>
        <v/>
      </c>
      <c r="M117" s="108" t="str">
        <f t="shared" si="17"/>
        <v/>
      </c>
      <c r="N117" s="111">
        <f t="shared" si="18"/>
        <v>1</v>
      </c>
    </row>
    <row r="118" spans="1:14" ht="13" x14ac:dyDescent="0.3">
      <c r="A118" s="109" t="s">
        <v>103</v>
      </c>
      <c r="B118" s="108" t="str">
        <f t="shared" si="6"/>
        <v>✓</v>
      </c>
      <c r="C118" s="108" t="str">
        <f t="shared" si="7"/>
        <v/>
      </c>
      <c r="D118" s="108" t="str">
        <f t="shared" si="8"/>
        <v/>
      </c>
      <c r="E118" s="108" t="str">
        <f t="shared" si="9"/>
        <v/>
      </c>
      <c r="F118" s="108" t="str">
        <f t="shared" si="10"/>
        <v/>
      </c>
      <c r="G118" s="108" t="str">
        <f t="shared" si="11"/>
        <v/>
      </c>
      <c r="H118" s="108" t="str">
        <f t="shared" si="12"/>
        <v/>
      </c>
      <c r="I118" s="108" t="str">
        <f t="shared" si="13"/>
        <v/>
      </c>
      <c r="J118" s="108" t="str">
        <f t="shared" si="14"/>
        <v/>
      </c>
      <c r="K118" s="108" t="str">
        <f t="shared" si="15"/>
        <v/>
      </c>
      <c r="L118" s="108" t="str">
        <f t="shared" si="16"/>
        <v/>
      </c>
      <c r="M118" s="108" t="str">
        <f t="shared" si="17"/>
        <v/>
      </c>
      <c r="N118" s="111">
        <f t="shared" si="18"/>
        <v>1</v>
      </c>
    </row>
    <row r="119" spans="1:14" ht="13" x14ac:dyDescent="0.3">
      <c r="A119" s="109" t="s">
        <v>107</v>
      </c>
      <c r="B119" s="108" t="str">
        <f t="shared" si="6"/>
        <v>✓</v>
      </c>
      <c r="C119" s="108" t="str">
        <f t="shared" si="7"/>
        <v/>
      </c>
      <c r="D119" s="108" t="str">
        <f t="shared" si="8"/>
        <v/>
      </c>
      <c r="E119" s="108" t="str">
        <f t="shared" si="9"/>
        <v/>
      </c>
      <c r="F119" s="108" t="str">
        <f t="shared" si="10"/>
        <v/>
      </c>
      <c r="G119" s="108" t="str">
        <f t="shared" si="11"/>
        <v/>
      </c>
      <c r="H119" s="108" t="str">
        <f t="shared" si="12"/>
        <v/>
      </c>
      <c r="I119" s="108" t="str">
        <f t="shared" si="13"/>
        <v/>
      </c>
      <c r="J119" s="108" t="str">
        <f t="shared" si="14"/>
        <v/>
      </c>
      <c r="K119" s="108" t="str">
        <f t="shared" si="15"/>
        <v/>
      </c>
      <c r="L119" s="108" t="str">
        <f t="shared" si="16"/>
        <v/>
      </c>
      <c r="M119" s="108" t="str">
        <f t="shared" si="17"/>
        <v/>
      </c>
      <c r="N119" s="111">
        <f t="shared" si="18"/>
        <v>1</v>
      </c>
    </row>
    <row r="120" spans="1:14" ht="13" x14ac:dyDescent="0.3">
      <c r="A120" s="109" t="s">
        <v>111</v>
      </c>
      <c r="B120" s="108" t="str">
        <f t="shared" si="6"/>
        <v/>
      </c>
      <c r="C120" s="108" t="str">
        <f t="shared" si="7"/>
        <v/>
      </c>
      <c r="D120" s="108" t="str">
        <f t="shared" si="8"/>
        <v/>
      </c>
      <c r="E120" s="108" t="str">
        <f t="shared" si="9"/>
        <v/>
      </c>
      <c r="F120" s="108" t="str">
        <f t="shared" si="10"/>
        <v/>
      </c>
      <c r="G120" s="108" t="str">
        <f t="shared" si="11"/>
        <v/>
      </c>
      <c r="H120" s="108" t="str">
        <f t="shared" si="12"/>
        <v/>
      </c>
      <c r="I120" s="108" t="str">
        <f t="shared" si="13"/>
        <v/>
      </c>
      <c r="J120" s="108" t="str">
        <f t="shared" si="14"/>
        <v/>
      </c>
      <c r="K120" s="108" t="str">
        <f t="shared" si="15"/>
        <v/>
      </c>
      <c r="L120" s="108" t="str">
        <f t="shared" si="16"/>
        <v/>
      </c>
      <c r="M120" s="108" t="str">
        <f t="shared" si="17"/>
        <v/>
      </c>
      <c r="N120" s="111">
        <f t="shared" si="18"/>
        <v>0</v>
      </c>
    </row>
    <row r="121" spans="1:14" ht="13" x14ac:dyDescent="0.3">
      <c r="A121" s="109" t="s">
        <v>114</v>
      </c>
      <c r="B121" s="108" t="str">
        <f t="shared" si="6"/>
        <v>✓</v>
      </c>
      <c r="C121" s="108" t="str">
        <f t="shared" si="7"/>
        <v/>
      </c>
      <c r="D121" s="108" t="str">
        <f t="shared" si="8"/>
        <v/>
      </c>
      <c r="E121" s="108" t="str">
        <f t="shared" si="9"/>
        <v/>
      </c>
      <c r="F121" s="108" t="str">
        <f t="shared" si="10"/>
        <v/>
      </c>
      <c r="G121" s="108" t="str">
        <f t="shared" si="11"/>
        <v/>
      </c>
      <c r="H121" s="108" t="str">
        <f t="shared" si="12"/>
        <v/>
      </c>
      <c r="I121" s="108" t="str">
        <f t="shared" si="13"/>
        <v/>
      </c>
      <c r="J121" s="108" t="str">
        <f t="shared" si="14"/>
        <v/>
      </c>
      <c r="K121" s="108" t="str">
        <f t="shared" si="15"/>
        <v/>
      </c>
      <c r="L121" s="108" t="str">
        <f t="shared" si="16"/>
        <v/>
      </c>
      <c r="M121" s="108" t="str">
        <f t="shared" si="17"/>
        <v/>
      </c>
      <c r="N121" s="111">
        <f t="shared" si="18"/>
        <v>1</v>
      </c>
    </row>
    <row r="122" spans="1:14" ht="13" x14ac:dyDescent="0.3">
      <c r="A122" s="109" t="s">
        <v>116</v>
      </c>
      <c r="B122" s="108" t="str">
        <f t="shared" si="6"/>
        <v/>
      </c>
      <c r="C122" s="108" t="str">
        <f t="shared" si="7"/>
        <v/>
      </c>
      <c r="D122" s="108" t="str">
        <f t="shared" si="8"/>
        <v/>
      </c>
      <c r="E122" s="108" t="str">
        <f t="shared" si="9"/>
        <v/>
      </c>
      <c r="F122" s="108" t="str">
        <f t="shared" si="10"/>
        <v/>
      </c>
      <c r="G122" s="108" t="str">
        <f t="shared" si="11"/>
        <v/>
      </c>
      <c r="H122" s="108" t="str">
        <f t="shared" si="12"/>
        <v/>
      </c>
      <c r="I122" s="108" t="str">
        <f t="shared" si="13"/>
        <v/>
      </c>
      <c r="J122" s="108" t="str">
        <f t="shared" si="14"/>
        <v/>
      </c>
      <c r="K122" s="108" t="str">
        <f t="shared" si="15"/>
        <v/>
      </c>
      <c r="L122" s="108" t="str">
        <f t="shared" si="16"/>
        <v/>
      </c>
      <c r="M122" s="108" t="str">
        <f t="shared" si="17"/>
        <v/>
      </c>
      <c r="N122" s="111">
        <f t="shared" si="18"/>
        <v>0</v>
      </c>
    </row>
    <row r="123" spans="1:14" ht="13" x14ac:dyDescent="0.3">
      <c r="A123" s="109" t="s">
        <v>253</v>
      </c>
      <c r="B123" s="108" t="str">
        <f t="shared" si="6"/>
        <v/>
      </c>
      <c r="C123" s="108" t="str">
        <f t="shared" si="7"/>
        <v/>
      </c>
      <c r="D123" s="108" t="str">
        <f t="shared" si="8"/>
        <v/>
      </c>
      <c r="E123" s="108" t="str">
        <f t="shared" si="9"/>
        <v/>
      </c>
      <c r="F123" s="108" t="str">
        <f t="shared" si="10"/>
        <v/>
      </c>
      <c r="G123" s="108" t="str">
        <f t="shared" si="11"/>
        <v/>
      </c>
      <c r="H123" s="108" t="str">
        <f t="shared" si="12"/>
        <v/>
      </c>
      <c r="I123" s="108" t="str">
        <f t="shared" si="13"/>
        <v/>
      </c>
      <c r="J123" s="108" t="str">
        <f t="shared" si="14"/>
        <v/>
      </c>
      <c r="K123" s="108" t="str">
        <f t="shared" si="15"/>
        <v/>
      </c>
      <c r="L123" s="108" t="str">
        <f t="shared" si="16"/>
        <v/>
      </c>
      <c r="M123" s="108" t="str">
        <f t="shared" si="17"/>
        <v/>
      </c>
      <c r="N123" s="111">
        <f t="shared" si="18"/>
        <v>0</v>
      </c>
    </row>
    <row r="124" spans="1:14" ht="13" x14ac:dyDescent="0.3">
      <c r="A124" s="115" t="s">
        <v>256</v>
      </c>
      <c r="B124" s="114">
        <f t="shared" ref="B124:M124" si="19">COUNTIF(B98:B123,"✓")</f>
        <v>18</v>
      </c>
      <c r="C124" s="114">
        <f t="shared" si="19"/>
        <v>0</v>
      </c>
      <c r="D124" s="114">
        <f t="shared" si="19"/>
        <v>0</v>
      </c>
      <c r="E124" s="114">
        <f t="shared" si="19"/>
        <v>0</v>
      </c>
      <c r="F124" s="114">
        <f t="shared" si="19"/>
        <v>0</v>
      </c>
      <c r="G124" s="114">
        <f t="shared" si="19"/>
        <v>0</v>
      </c>
      <c r="H124" s="114">
        <f t="shared" si="19"/>
        <v>0</v>
      </c>
      <c r="I124" s="114">
        <f t="shared" si="19"/>
        <v>0</v>
      </c>
      <c r="J124" s="114">
        <f t="shared" si="19"/>
        <v>0</v>
      </c>
      <c r="K124" s="114">
        <f t="shared" si="19"/>
        <v>0</v>
      </c>
      <c r="L124" s="114">
        <f t="shared" si="19"/>
        <v>0</v>
      </c>
      <c r="M124" s="114">
        <f t="shared" si="19"/>
        <v>0</v>
      </c>
      <c r="N124" s="114">
        <f>SUM(B124:M124)</f>
        <v>18</v>
      </c>
    </row>
    <row r="127" spans="1:14" ht="14" x14ac:dyDescent="0.3">
      <c r="A127" s="116" t="s">
        <v>257</v>
      </c>
    </row>
    <row r="128" spans="1:14" x14ac:dyDescent="0.25">
      <c r="A128" s="117" t="s">
        <v>258</v>
      </c>
    </row>
    <row r="129" spans="1:14" x14ac:dyDescent="0.25">
      <c r="A129" s="117" t="s">
        <v>259</v>
      </c>
    </row>
    <row r="130" spans="1:14" x14ac:dyDescent="0.25">
      <c r="A130" s="117" t="s">
        <v>260</v>
      </c>
    </row>
    <row r="131" spans="1:14" x14ac:dyDescent="0.25">
      <c r="A131" s="117" t="s">
        <v>261</v>
      </c>
    </row>
    <row r="132" spans="1:14" x14ac:dyDescent="0.25">
      <c r="A132" s="117" t="s">
        <v>262</v>
      </c>
    </row>
    <row r="135" spans="1:14" ht="18" x14ac:dyDescent="0.4">
      <c r="A135" s="189" t="s">
        <v>263</v>
      </c>
      <c r="B135" s="189"/>
      <c r="C135" s="189"/>
      <c r="D135" s="189"/>
      <c r="E135" s="189"/>
      <c r="F135" s="189"/>
      <c r="G135" s="189"/>
      <c r="H135" s="189"/>
      <c r="I135" s="189"/>
      <c r="J135" s="189"/>
      <c r="K135" s="189"/>
      <c r="L135" s="189"/>
      <c r="M135" s="189"/>
      <c r="N135" s="189"/>
    </row>
    <row r="136" spans="1:14" ht="13" x14ac:dyDescent="0.3">
      <c r="A136" s="184" t="s">
        <v>264</v>
      </c>
      <c r="B136" s="184"/>
      <c r="C136" s="184"/>
      <c r="D136" s="184"/>
      <c r="E136" s="184"/>
      <c r="F136" s="184"/>
      <c r="G136" s="184"/>
      <c r="H136" s="184"/>
      <c r="I136" s="184"/>
      <c r="J136" s="184"/>
      <c r="K136" s="184"/>
      <c r="L136" s="184"/>
      <c r="M136" s="184"/>
      <c r="N136" s="184"/>
    </row>
    <row r="138" spans="1:14" ht="13" x14ac:dyDescent="0.3">
      <c r="A138" s="118" t="s">
        <v>223</v>
      </c>
      <c r="B138" s="118" t="s">
        <v>6</v>
      </c>
      <c r="C138" s="118" t="s">
        <v>123</v>
      </c>
      <c r="D138" s="118" t="s">
        <v>124</v>
      </c>
      <c r="E138" s="118" t="s">
        <v>125</v>
      </c>
      <c r="F138" s="118" t="s">
        <v>126</v>
      </c>
      <c r="G138" s="118" t="s">
        <v>127</v>
      </c>
      <c r="H138" s="118" t="s">
        <v>130</v>
      </c>
      <c r="I138" s="118" t="s">
        <v>131</v>
      </c>
      <c r="J138" s="118" t="s">
        <v>136</v>
      </c>
      <c r="K138" s="118" t="s">
        <v>137</v>
      </c>
      <c r="L138" s="118" t="s">
        <v>138</v>
      </c>
      <c r="M138" s="118" t="s">
        <v>139</v>
      </c>
      <c r="N138" s="118" t="s">
        <v>265</v>
      </c>
    </row>
    <row r="139" spans="1:14" x14ac:dyDescent="0.25">
      <c r="A139" s="119" t="s">
        <v>224</v>
      </c>
      <c r="B139" s="120" cm="1">
        <f t="array" ref="B139">SUMPRODUCT(('Week 1'!E5:E31)*('Week 1'!F5:F31)*('Week 1'!G5:G31))</f>
        <v>17550</v>
      </c>
      <c r="C139" s="120" cm="1">
        <f t="array" ref="C139">SUMPRODUCT(('Week 2'!E5:E31)*('Week 2'!F5:F31)*('Week 2'!G5:G31))</f>
        <v>0</v>
      </c>
      <c r="D139" s="120" cm="1">
        <f t="array" ref="D139">SUMPRODUCT(('Week 3'!E5:E31)*('Week 3'!F5:F31)*('Week 3'!G5:G31))</f>
        <v>0</v>
      </c>
      <c r="E139" s="120" cm="1">
        <f t="array" ref="E139">SUMPRODUCT(('Week 4'!E5:E31)*('Week 4'!F5:F31)*('Week 4'!G5:G31))</f>
        <v>0</v>
      </c>
      <c r="F139" s="120" cm="1">
        <f t="array" ref="F139">SUMPRODUCT(('Week 5'!E5:E31)*('Week 5'!F5:F31)*('Week 5'!G5:G31))</f>
        <v>0</v>
      </c>
      <c r="G139" s="120" cm="1">
        <f t="array" ref="G139">SUMPRODUCT(('Week 6'!E5:E31)*('Week 6'!F5:F31)*('Week 6'!G5:G31))</f>
        <v>0</v>
      </c>
      <c r="H139" s="120" cm="1">
        <f t="array" ref="H139">SUMPRODUCT(('Week 7'!E5:E31)*('Week 7'!F5:F31)*('Week 7'!G5:G31))</f>
        <v>0</v>
      </c>
      <c r="I139" s="120" cm="1">
        <f t="array" ref="I139">SUMPRODUCT(('Week 8'!E5:E31)*('Week 8'!F5:F31)*('Week 8'!G5:G31))</f>
        <v>0</v>
      </c>
      <c r="J139" s="120" cm="1">
        <f t="array" ref="J139">SUMPRODUCT(('Week 9'!E5:E31)*('Week 9'!F5:F31)*('Week 9'!G5:G31))</f>
        <v>0</v>
      </c>
      <c r="K139" s="120" cm="1">
        <f t="array" ref="K139">SUMPRODUCT(('Week 10'!E5:E31)*('Week 10'!F5:F31)*('Week 10'!G5:G31))</f>
        <v>0</v>
      </c>
      <c r="L139" s="120" cm="1">
        <f t="array" ref="L139">SUMPRODUCT(('Week 11'!E5:E31)*('Week 11'!F5:F31)*('Week 11'!G5:G31))</f>
        <v>0</v>
      </c>
      <c r="M139" s="120" cm="1">
        <f t="array" ref="M139">SUMPRODUCT(('Week 12'!E5:E31)*('Week 12'!F5:F31)*('Week 12'!G5:G31))</f>
        <v>0</v>
      </c>
      <c r="N139" s="120">
        <f>SUM(B139:M139)</f>
        <v>17550</v>
      </c>
    </row>
    <row r="140" spans="1:14" x14ac:dyDescent="0.25">
      <c r="A140" t="s">
        <v>266</v>
      </c>
      <c r="B140">
        <f>SUM('Week 1'!E5:E31)</f>
        <v>39</v>
      </c>
      <c r="C140">
        <f>SUM('Week 2'!E5:E31)</f>
        <v>0</v>
      </c>
      <c r="D140">
        <f>SUM('Week 3'!E5:E31)</f>
        <v>0</v>
      </c>
      <c r="E140">
        <f>SUM('Week 4'!E5:E31)</f>
        <v>0</v>
      </c>
      <c r="F140">
        <f>SUM('Week 5'!E5:E31)</f>
        <v>0</v>
      </c>
      <c r="G140">
        <f>SUM('Week 6'!E5:E31)</f>
        <v>0</v>
      </c>
      <c r="H140">
        <f>SUM('Week 7'!E5:E31)</f>
        <v>0</v>
      </c>
      <c r="I140">
        <f>SUM('Week 8'!E5:E31)</f>
        <v>0</v>
      </c>
      <c r="J140">
        <f>SUM('Week 9'!E5:E31)</f>
        <v>0</v>
      </c>
      <c r="K140">
        <f>SUM('Week 10'!E5:E31)</f>
        <v>0</v>
      </c>
      <c r="L140">
        <f>SUM('Week 11'!E5:E31)</f>
        <v>0</v>
      </c>
      <c r="M140">
        <f>SUM('Week 12'!E5:E31)</f>
        <v>0</v>
      </c>
      <c r="N140">
        <f>SUM(B140:M140)</f>
        <v>39</v>
      </c>
    </row>
    <row r="141" spans="1:14" x14ac:dyDescent="0.25">
      <c r="A141" s="119" t="s">
        <v>267</v>
      </c>
      <c r="B141" s="119" cm="1">
        <f t="array" ref="B141">SUMPRODUCT(('Week 1'!E5:E31)*('Week 1'!G5:G31))</f>
        <v>340</v>
      </c>
      <c r="C141" s="119" cm="1">
        <f t="array" ref="C141">SUMPRODUCT(('Week 2'!E5:E31)*('Week 2'!G5:G31))</f>
        <v>0</v>
      </c>
      <c r="D141" s="119" cm="1">
        <f t="array" ref="D141">SUMPRODUCT(('Week 3'!E5:E31)*('Week 3'!G5:G31))</f>
        <v>0</v>
      </c>
      <c r="E141" s="119" cm="1">
        <f t="array" ref="E141">SUMPRODUCT(('Week 4'!E5:E31)*('Week 4'!G5:G31))</f>
        <v>0</v>
      </c>
      <c r="F141" s="119" cm="1">
        <f t="array" ref="F141">SUMPRODUCT(('Week 5'!E5:E31)*('Week 5'!G5:G31))</f>
        <v>0</v>
      </c>
      <c r="G141" s="119" cm="1">
        <f t="array" ref="G141">SUMPRODUCT(('Week 6'!E5:E31)*('Week 6'!G5:G31))</f>
        <v>0</v>
      </c>
      <c r="H141" s="119" cm="1">
        <f t="array" ref="H141">SUMPRODUCT(('Week 7'!E5:E31)*('Week 7'!G5:G31))</f>
        <v>0</v>
      </c>
      <c r="I141" s="119" cm="1">
        <f t="array" ref="I141">SUMPRODUCT(('Week 8'!E5:E31)*('Week 8'!G5:G31))</f>
        <v>0</v>
      </c>
      <c r="J141" s="119" cm="1">
        <f t="array" ref="J141">SUMPRODUCT(('Week 9'!E5:E31)*('Week 9'!G5:G31))</f>
        <v>0</v>
      </c>
      <c r="K141" s="119" cm="1">
        <f t="array" ref="K141">SUMPRODUCT(('Week 10'!E5:E31)*('Week 10'!G5:G31))</f>
        <v>0</v>
      </c>
      <c r="L141" s="119" cm="1">
        <f t="array" ref="L141">SUMPRODUCT(('Week 11'!E5:E31)*('Week 11'!G5:G31))</f>
        <v>0</v>
      </c>
      <c r="M141" s="119" cm="1">
        <f t="array" ref="M141">SUMPRODUCT(('Week 12'!E5:E31)*('Week 12'!G5:G31))</f>
        <v>0</v>
      </c>
      <c r="N141" s="119">
        <f>SUM(B141:M141)</f>
        <v>340</v>
      </c>
    </row>
    <row r="142" spans="1:14" x14ac:dyDescent="0.25">
      <c r="A142" t="s">
        <v>268</v>
      </c>
      <c r="B142" s="100">
        <f t="shared" ref="B142:N142" si="20">IF(B141&gt;0,B139/B141,0)</f>
        <v>51.617647058823529</v>
      </c>
      <c r="C142" s="100">
        <f t="shared" si="20"/>
        <v>0</v>
      </c>
      <c r="D142" s="100">
        <f t="shared" si="20"/>
        <v>0</v>
      </c>
      <c r="E142" s="100">
        <f t="shared" si="20"/>
        <v>0</v>
      </c>
      <c r="F142" s="100">
        <f t="shared" si="20"/>
        <v>0</v>
      </c>
      <c r="G142" s="100">
        <f t="shared" si="20"/>
        <v>0</v>
      </c>
      <c r="H142" s="100">
        <f t="shared" si="20"/>
        <v>0</v>
      </c>
      <c r="I142" s="100">
        <f t="shared" si="20"/>
        <v>0</v>
      </c>
      <c r="J142" s="100">
        <f t="shared" si="20"/>
        <v>0</v>
      </c>
      <c r="K142" s="100">
        <f t="shared" si="20"/>
        <v>0</v>
      </c>
      <c r="L142" s="100">
        <f t="shared" si="20"/>
        <v>0</v>
      </c>
      <c r="M142" s="100">
        <f t="shared" si="20"/>
        <v>0</v>
      </c>
      <c r="N142" s="100">
        <f t="shared" si="20"/>
        <v>51.617647058823529</v>
      </c>
    </row>
    <row r="143" spans="1:14" x14ac:dyDescent="0.25">
      <c r="A143" s="119" t="s">
        <v>225</v>
      </c>
      <c r="B143" s="119" t="s">
        <v>226</v>
      </c>
      <c r="C143" s="121">
        <f t="shared" ref="C143:M143" si="21">IF(AND(B139&gt;0,C139&gt;0),(C139-B139)/B139,0)</f>
        <v>0</v>
      </c>
      <c r="D143" s="121">
        <f t="shared" si="21"/>
        <v>0</v>
      </c>
      <c r="E143" s="121">
        <f t="shared" si="21"/>
        <v>0</v>
      </c>
      <c r="F143" s="121">
        <f t="shared" si="21"/>
        <v>0</v>
      </c>
      <c r="G143" s="121">
        <f t="shared" si="21"/>
        <v>0</v>
      </c>
      <c r="H143" s="121">
        <f t="shared" si="21"/>
        <v>0</v>
      </c>
      <c r="I143" s="121">
        <f t="shared" si="21"/>
        <v>0</v>
      </c>
      <c r="J143" s="121">
        <f t="shared" si="21"/>
        <v>0</v>
      </c>
      <c r="K143" s="121">
        <f t="shared" si="21"/>
        <v>0</v>
      </c>
      <c r="L143" s="121">
        <f t="shared" si="21"/>
        <v>0</v>
      </c>
      <c r="M143" s="121">
        <f t="shared" si="21"/>
        <v>0</v>
      </c>
      <c r="N143" s="119"/>
    </row>
    <row r="147" spans="1:17" ht="18" x14ac:dyDescent="0.4">
      <c r="A147" s="185" t="s">
        <v>269</v>
      </c>
      <c r="B147" s="186"/>
      <c r="C147" s="186"/>
      <c r="D147" s="186"/>
      <c r="E147" s="186"/>
      <c r="F147" s="186"/>
      <c r="G147" s="186"/>
      <c r="H147" s="186"/>
      <c r="I147" s="186"/>
      <c r="J147" s="186"/>
      <c r="K147" s="186"/>
      <c r="L147" s="186"/>
      <c r="M147" s="186"/>
      <c r="N147" s="186"/>
    </row>
    <row r="148" spans="1:17" ht="13" x14ac:dyDescent="0.3">
      <c r="A148" s="184" t="s">
        <v>270</v>
      </c>
      <c r="B148" s="184"/>
      <c r="C148" s="184"/>
      <c r="D148" s="184"/>
      <c r="E148" s="184"/>
      <c r="F148" s="184"/>
      <c r="G148" s="184"/>
      <c r="H148" s="184"/>
      <c r="I148" s="184"/>
      <c r="J148" s="184"/>
      <c r="K148" s="184"/>
      <c r="L148" s="184"/>
      <c r="M148" s="184"/>
      <c r="N148" s="184"/>
    </row>
    <row r="150" spans="1:17" ht="13" x14ac:dyDescent="0.3">
      <c r="A150" s="118" t="s">
        <v>227</v>
      </c>
      <c r="B150" s="118" t="s">
        <v>6</v>
      </c>
      <c r="C150" s="118" t="s">
        <v>123</v>
      </c>
      <c r="D150" s="118" t="s">
        <v>124</v>
      </c>
      <c r="E150" s="118" t="s">
        <v>125</v>
      </c>
      <c r="F150" s="118" t="s">
        <v>126</v>
      </c>
      <c r="G150" s="118" t="s">
        <v>127</v>
      </c>
      <c r="H150" s="118" t="s">
        <v>130</v>
      </c>
      <c r="I150" s="118" t="s">
        <v>131</v>
      </c>
      <c r="J150" s="118" t="s">
        <v>136</v>
      </c>
      <c r="K150" s="118" t="s">
        <v>137</v>
      </c>
      <c r="L150" s="118" t="s">
        <v>138</v>
      </c>
      <c r="M150" s="118" t="s">
        <v>139</v>
      </c>
      <c r="N150" s="118" t="s">
        <v>265</v>
      </c>
      <c r="P150" s="91"/>
      <c r="Q150" s="91"/>
    </row>
    <row r="151" spans="1:17" ht="13" x14ac:dyDescent="0.3">
      <c r="A151" s="119" t="s">
        <v>271</v>
      </c>
      <c r="B151" s="120">
        <f>SUMPRODUCT(('Week 1'!E6)*('Week 1'!F6)*('Week 1'!G6))+SUMPRODUCT(('Week 1'!E25)*('Week 1'!F25)*('Week 1'!G25))+SUMPRODUCT(('Week 1'!E21)*('Week 1'!F21)*('Week 1'!G21))</f>
        <v>4000</v>
      </c>
      <c r="C151" s="120">
        <f>SUMPRODUCT(('Week 2'!E6)*('Week 2'!F6)*('Week 2'!G6))+SUMPRODUCT(('Week 2'!E25)*('Week 2'!F25)*('Week 2'!G25))+SUMPRODUCT(('Week 2'!E21)*('Week 2'!F21)*('Week 2'!G21))</f>
        <v>0</v>
      </c>
      <c r="D151" s="120">
        <f>SUMPRODUCT(('Week 3'!E6)*('Week 3'!F6)*('Week 3'!G6))+SUMPRODUCT(('Week 3'!E25)*('Week 3'!F25)*('Week 3'!G25))+SUMPRODUCT(('Week 3'!E21)*('Week 3'!F21)*('Week 3'!G21))</f>
        <v>0</v>
      </c>
      <c r="E151" s="120">
        <f>SUMPRODUCT(('Week 4'!E6)*('Week 4'!F6)*('Week 4'!G6))+SUMPRODUCT(('Week 4'!E25)*('Week 4'!F25)*('Week 4'!G25))+SUMPRODUCT(('Week 4'!E21)*('Week 4'!F21)*('Week 4'!G21))</f>
        <v>0</v>
      </c>
      <c r="F151" s="120">
        <f>SUMPRODUCT(('Week 5'!E6)*('Week 5'!F6)*('Week 5'!G6))+SUMPRODUCT(('Week 5'!E25)*('Week 5'!F25)*('Week 5'!G25))+SUMPRODUCT(('Week 5'!E21)*('Week 5'!F21)*('Week 5'!G21))</f>
        <v>0</v>
      </c>
      <c r="G151" s="120">
        <f>SUMPRODUCT(('Week 6'!E6)*('Week 6'!F6)*('Week 6'!G6))+SUMPRODUCT(('Week 6'!E25)*('Week 6'!F25)*('Week 6'!G25))+SUMPRODUCT(('Week 6'!E21)*('Week 6'!F21)*('Week 6'!G21))</f>
        <v>0</v>
      </c>
      <c r="H151" s="120">
        <f>SUMPRODUCT(('Week 7'!E6)*('Week 7'!F6)*('Week 7'!G6))+SUMPRODUCT(('Week 7'!E25)*('Week 7'!F25)*('Week 7'!G25))+SUMPRODUCT(('Week 7'!E21)*('Week 7'!F21)*('Week 7'!G21))</f>
        <v>0</v>
      </c>
      <c r="I151" s="120">
        <f>SUMPRODUCT(('Week 8'!E6)*('Week 8'!F6)*('Week 8'!G6))+SUMPRODUCT(('Week 8'!E25)*('Week 8'!F25)*('Week 8'!G25))+SUMPRODUCT(('Week 8'!E21)*('Week 8'!F21)*('Week 8'!G21))</f>
        <v>0</v>
      </c>
      <c r="J151" s="120">
        <f>SUMPRODUCT(('Week 9'!E6)*('Week 9'!F6)*('Week 9'!G6))+SUMPRODUCT(('Week 9'!E25)*('Week 9'!F25)*('Week 9'!G25))+SUMPRODUCT(('Week 9'!E21)*('Week 9'!F21)*('Week 9'!G21))</f>
        <v>0</v>
      </c>
      <c r="K151" s="120">
        <f>SUMPRODUCT(('Week 10'!E6)*('Week 10'!F6)*('Week 10'!G6))+SUMPRODUCT(('Week 10'!E25)*('Week 10'!F25)*('Week 10'!G25))+SUMPRODUCT(('Week 10'!E21)*('Week 10'!F21)*('Week 10'!G21))</f>
        <v>0</v>
      </c>
      <c r="L151" s="120">
        <f>SUMPRODUCT(('Week 11'!E6)*('Week 11'!F6)*('Week 11'!G6))+SUMPRODUCT(('Week 11'!E25)*('Week 11'!F25)*('Week 11'!G25))+SUMPRODUCT(('Week 11'!E21)*('Week 11'!F21)*('Week 11'!G21))</f>
        <v>0</v>
      </c>
      <c r="M151" s="120">
        <f>SUMPRODUCT(('Week 12'!E6)*('Week 12'!F6)*('Week 12'!G6))+SUMPRODUCT(('Week 12'!E25)*('Week 12'!F25)*('Week 12'!G25))+SUMPRODUCT(('Week 12'!E21)*('Week 12'!F21)*('Week 12'!G21))</f>
        <v>0</v>
      </c>
      <c r="N151" s="120">
        <f t="shared" ref="N151:N162" si="22">SUM(B151:M151)</f>
        <v>4000</v>
      </c>
      <c r="P151" s="91"/>
      <c r="Q151" s="91"/>
    </row>
    <row r="152" spans="1:17" x14ac:dyDescent="0.25">
      <c r="A152" t="s">
        <v>272</v>
      </c>
      <c r="B152" s="102">
        <f>SUMPRODUCT(('Week 1'!E5)*('Week 1'!F5)*('Week 1'!G5))+SUMPRODUCT(('Week 1'!E22)*('Week 1'!F22)*('Week 1'!G22))+SUMPRODUCT(('Week 1'!E23)*('Week 1'!F23)*('Week 1'!G23))</f>
        <v>3560</v>
      </c>
      <c r="C152" s="102">
        <f>SUMPRODUCT(('Week 2'!E5)*('Week 2'!F5)*('Week 2'!G5))+SUMPRODUCT(('Week 2'!E22)*('Week 2'!F22)*('Week 2'!G22))+SUMPRODUCT(('Week 2'!E23)*('Week 2'!F23)*('Week 2'!G23))</f>
        <v>0</v>
      </c>
      <c r="D152" s="102">
        <f>SUMPRODUCT(('Week 3'!E5)*('Week 3'!F5)*('Week 3'!G5))+SUMPRODUCT(('Week 3'!E22)*('Week 3'!F22)*('Week 3'!G22))+SUMPRODUCT(('Week 3'!E23)*('Week 3'!F23)*('Week 3'!G23))</f>
        <v>0</v>
      </c>
      <c r="E152" s="102">
        <f>SUMPRODUCT(('Week 4'!E5)*('Week 4'!F5)*('Week 4'!G5))+SUMPRODUCT(('Week 4'!E22)*('Week 4'!F22)*('Week 4'!G22))+SUMPRODUCT(('Week 4'!E23)*('Week 4'!F23)*('Week 4'!G23))</f>
        <v>0</v>
      </c>
      <c r="F152" s="102">
        <f>SUMPRODUCT(('Week 5'!E5)*('Week 5'!F5)*('Week 5'!G5))+SUMPRODUCT(('Week 5'!E22)*('Week 5'!F22)*('Week 5'!G22))+SUMPRODUCT(('Week 5'!E23)*('Week 5'!F23)*('Week 5'!G23))</f>
        <v>0</v>
      </c>
      <c r="G152" s="102">
        <f>SUMPRODUCT(('Week 6'!E5)*('Week 6'!F5)*('Week 6'!G5))+SUMPRODUCT(('Week 6'!E22)*('Week 6'!F22)*('Week 6'!G22))+SUMPRODUCT(('Week 6'!E23)*('Week 6'!F23)*('Week 6'!G23))</f>
        <v>0</v>
      </c>
      <c r="H152" s="102">
        <f>SUMPRODUCT(('Week 7'!E5)*('Week 7'!F5)*('Week 7'!G5))+SUMPRODUCT(('Week 7'!E22)*('Week 7'!F22)*('Week 7'!G22))+SUMPRODUCT(('Week 7'!E23)*('Week 7'!F23)*('Week 7'!G23))</f>
        <v>0</v>
      </c>
      <c r="I152" s="102">
        <f>SUMPRODUCT(('Week 8'!E5)*('Week 8'!F5)*('Week 8'!G5))+SUMPRODUCT(('Week 8'!E22)*('Week 8'!F22)*('Week 8'!G22))+SUMPRODUCT(('Week 8'!E23)*('Week 8'!F23)*('Week 8'!G23))</f>
        <v>0</v>
      </c>
      <c r="J152" s="102">
        <f>SUMPRODUCT(('Week 9'!E5)*('Week 9'!F5)*('Week 9'!G5))+SUMPRODUCT(('Week 9'!E22)*('Week 9'!F22)*('Week 9'!G22))+SUMPRODUCT(('Week 9'!E23)*('Week 9'!F23)*('Week 9'!G23))</f>
        <v>0</v>
      </c>
      <c r="K152" s="102">
        <f>SUMPRODUCT(('Week 10'!E5)*('Week 10'!F5)*('Week 10'!G5))+SUMPRODUCT(('Week 10'!E22)*('Week 10'!F22)*('Week 10'!G22))+SUMPRODUCT(('Week 10'!E23)*('Week 10'!F23)*('Week 10'!G23))</f>
        <v>0</v>
      </c>
      <c r="L152" s="102">
        <f>SUMPRODUCT(('Week 11'!E5)*('Week 11'!F5)*('Week 11'!G5))+SUMPRODUCT(('Week 11'!E22)*('Week 11'!F22)*('Week 11'!G22))+SUMPRODUCT(('Week 11'!E23)*('Week 11'!F23)*('Week 11'!G23))</f>
        <v>0</v>
      </c>
      <c r="M152" s="102">
        <f>SUMPRODUCT(('Week 12'!E5)*('Week 12'!F5)*('Week 12'!G5))+SUMPRODUCT(('Week 12'!E22)*('Week 12'!F22)*('Week 12'!G22))+SUMPRODUCT(('Week 12'!E23)*('Week 12'!F23)*('Week 12'!G23))</f>
        <v>0</v>
      </c>
      <c r="N152" s="102">
        <f t="shared" si="22"/>
        <v>3560</v>
      </c>
    </row>
    <row r="153" spans="1:17" x14ac:dyDescent="0.25">
      <c r="A153" s="119" t="s">
        <v>273</v>
      </c>
      <c r="B153" s="120">
        <f>SUMPRODUCT(('Week 1'!E7)*('Week 1'!F7)*('Week 1'!G7))+SUMPRODUCT(('Week 1'!E15)*('Week 1'!F15)*('Week 1'!G15))</f>
        <v>1450</v>
      </c>
      <c r="C153" s="120">
        <f>SUMPRODUCT(('Week 2'!E7)*('Week 2'!F7)*('Week 2'!G7))+SUMPRODUCT(('Week 2'!E15)*('Week 2'!F15)*('Week 2'!G15))</f>
        <v>0</v>
      </c>
      <c r="D153" s="120">
        <f>SUMPRODUCT(('Week 3'!E7)*('Week 3'!F7)*('Week 3'!G7))+SUMPRODUCT(('Week 3'!E15)*('Week 3'!F15)*('Week 3'!G15))</f>
        <v>0</v>
      </c>
      <c r="E153" s="120">
        <f>SUMPRODUCT(('Week 4'!E7)*('Week 4'!F7)*('Week 4'!G7))+SUMPRODUCT(('Week 4'!E15)*('Week 4'!F15)*('Week 4'!G15))</f>
        <v>0</v>
      </c>
      <c r="F153" s="120">
        <f>SUMPRODUCT(('Week 5'!E7)*('Week 5'!F7)*('Week 5'!G7))+SUMPRODUCT(('Week 5'!E15)*('Week 5'!F15)*('Week 5'!G15))</f>
        <v>0</v>
      </c>
      <c r="G153" s="120">
        <f>SUMPRODUCT(('Week 6'!E7)*('Week 6'!F7)*('Week 6'!G7))+SUMPRODUCT(('Week 6'!E15)*('Week 6'!F15)*('Week 6'!G15))</f>
        <v>0</v>
      </c>
      <c r="H153" s="120">
        <f>SUMPRODUCT(('Week 7'!E7)*('Week 7'!F7)*('Week 7'!G7))+SUMPRODUCT(('Week 7'!E15)*('Week 7'!F15)*('Week 7'!G15))</f>
        <v>0</v>
      </c>
      <c r="I153" s="120">
        <f>SUMPRODUCT(('Week 8'!E7)*('Week 8'!F7)*('Week 8'!G7))+SUMPRODUCT(('Week 8'!E15)*('Week 8'!F15)*('Week 8'!G15))</f>
        <v>0</v>
      </c>
      <c r="J153" s="120">
        <f>SUMPRODUCT(('Week 9'!E7)*('Week 9'!F7)*('Week 9'!G7))+SUMPRODUCT(('Week 9'!E15)*('Week 9'!F15)*('Week 9'!G15))</f>
        <v>0</v>
      </c>
      <c r="K153" s="120">
        <f>SUMPRODUCT(('Week 10'!E7)*('Week 10'!F7)*('Week 10'!G7))+SUMPRODUCT(('Week 10'!E15)*('Week 10'!F15)*('Week 10'!G15))</f>
        <v>0</v>
      </c>
      <c r="L153" s="120">
        <f>SUMPRODUCT(('Week 11'!E7)*('Week 11'!F7)*('Week 11'!G7))+SUMPRODUCT(('Week 11'!E15)*('Week 11'!F15)*('Week 11'!G15))</f>
        <v>0</v>
      </c>
      <c r="M153" s="120">
        <f>SUMPRODUCT(('Week 12'!E7)*('Week 12'!F7)*('Week 12'!G7))+SUMPRODUCT(('Week 12'!E15)*('Week 12'!F15)*('Week 12'!G15))</f>
        <v>0</v>
      </c>
      <c r="N153" s="120">
        <f t="shared" si="22"/>
        <v>1450</v>
      </c>
    </row>
    <row r="154" spans="1:17" x14ac:dyDescent="0.25">
      <c r="A154" t="s">
        <v>274</v>
      </c>
      <c r="B154" s="102">
        <f>SUMPRODUCT(('Week 1'!E9)*('Week 1'!F9)*('Week 1'!G9))+SUMPRODUCT(('Week 1'!E13)*('Week 1'!F13)*('Week 1'!G13))</f>
        <v>2240</v>
      </c>
      <c r="C154" s="102">
        <f>SUMPRODUCT(('Week 2'!E9)*('Week 2'!F9)*('Week 2'!G9))+SUMPRODUCT(('Week 2'!E13)*('Week 2'!F13)*('Week 2'!G13))</f>
        <v>0</v>
      </c>
      <c r="D154" s="102">
        <f>SUMPRODUCT(('Week 3'!E9)*('Week 3'!F9)*('Week 3'!G9))+SUMPRODUCT(('Week 3'!E13)*('Week 3'!F13)*('Week 3'!G13))</f>
        <v>0</v>
      </c>
      <c r="E154" s="102">
        <f>SUMPRODUCT(('Week 4'!E9)*('Week 4'!F9)*('Week 4'!G9))+SUMPRODUCT(('Week 4'!E13)*('Week 4'!F13)*('Week 4'!G13))</f>
        <v>0</v>
      </c>
      <c r="F154" s="102">
        <f>SUMPRODUCT(('Week 5'!E9)*('Week 5'!F9)*('Week 5'!G9))+SUMPRODUCT(('Week 5'!E13)*('Week 5'!F13)*('Week 5'!G13))</f>
        <v>0</v>
      </c>
      <c r="G154" s="102">
        <f>SUMPRODUCT(('Week 6'!E9)*('Week 6'!F9)*('Week 6'!G9))+SUMPRODUCT(('Week 6'!E13)*('Week 6'!F13)*('Week 6'!G13))</f>
        <v>0</v>
      </c>
      <c r="H154" s="102">
        <f>SUMPRODUCT(('Week 7'!E9)*('Week 7'!F9)*('Week 7'!G9))+SUMPRODUCT(('Week 7'!E13)*('Week 7'!F13)*('Week 7'!G13))</f>
        <v>0</v>
      </c>
      <c r="I154" s="102">
        <f>SUMPRODUCT(('Week 8'!E9)*('Week 8'!F9)*('Week 8'!G9))+SUMPRODUCT(('Week 8'!E13)*('Week 8'!F13)*('Week 8'!G13))</f>
        <v>0</v>
      </c>
      <c r="J154" s="102">
        <f>SUMPRODUCT(('Week 9'!E9)*('Week 9'!F9)*('Week 9'!G9))+SUMPRODUCT(('Week 9'!E13)*('Week 9'!F13)*('Week 9'!G13))</f>
        <v>0</v>
      </c>
      <c r="K154" s="102">
        <f>SUMPRODUCT(('Week 10'!E9)*('Week 10'!F9)*('Week 10'!G9))+SUMPRODUCT(('Week 10'!E13)*('Week 10'!F13)*('Week 10'!G13))</f>
        <v>0</v>
      </c>
      <c r="L154" s="102">
        <f>SUMPRODUCT(('Week 11'!E9)*('Week 11'!F9)*('Week 11'!G9))+SUMPRODUCT(('Week 11'!E13)*('Week 11'!F13)*('Week 11'!G13))</f>
        <v>0</v>
      </c>
      <c r="M154" s="102">
        <f>SUMPRODUCT(('Week 12'!E9)*('Week 12'!F9)*('Week 12'!G9))+SUMPRODUCT(('Week 12'!E13)*('Week 12'!F13)*('Week 12'!G13))</f>
        <v>0</v>
      </c>
      <c r="N154" s="102">
        <f t="shared" si="22"/>
        <v>2240</v>
      </c>
    </row>
    <row r="155" spans="1:17" x14ac:dyDescent="0.25">
      <c r="A155" s="119" t="s">
        <v>275</v>
      </c>
      <c r="B155" s="120">
        <f>SUMPRODUCT(('Week 1'!E14)*('Week 1'!F14)*('Week 1'!G14))+SUMPRODUCT(('Week 1'!E15)*('Week 1'!F15)*('Week 1'!G15))</f>
        <v>2170</v>
      </c>
      <c r="C155" s="120">
        <f>SUMPRODUCT(('Week 2'!E14)*('Week 2'!F14)*('Week 2'!G14))+SUMPRODUCT(('Week 2'!E15)*('Week 2'!F15)*('Week 2'!G15))</f>
        <v>0</v>
      </c>
      <c r="D155" s="120">
        <f>SUMPRODUCT(('Week 3'!E14)*('Week 3'!F14)*('Week 3'!G14))+SUMPRODUCT(('Week 3'!E15)*('Week 3'!F15)*('Week 3'!G15))</f>
        <v>0</v>
      </c>
      <c r="E155" s="120">
        <f>SUMPRODUCT(('Week 4'!E14)*('Week 4'!F14)*('Week 4'!G14))+SUMPRODUCT(('Week 4'!E15)*('Week 4'!F15)*('Week 4'!G15))</f>
        <v>0</v>
      </c>
      <c r="F155" s="120">
        <f>SUMPRODUCT(('Week 5'!E14)*('Week 5'!F14)*('Week 5'!G14))+SUMPRODUCT(('Week 5'!E15)*('Week 5'!F15)*('Week 5'!G15))</f>
        <v>0</v>
      </c>
      <c r="G155" s="120">
        <f>SUMPRODUCT(('Week 6'!E14)*('Week 6'!F14)*('Week 6'!G14))+SUMPRODUCT(('Week 6'!E15)*('Week 6'!F15)*('Week 6'!G15))</f>
        <v>0</v>
      </c>
      <c r="H155" s="120">
        <f>SUMPRODUCT(('Week 7'!E14)*('Week 7'!F14)*('Week 7'!G14))+SUMPRODUCT(('Week 7'!E15)*('Week 7'!F15)*('Week 7'!G15))</f>
        <v>0</v>
      </c>
      <c r="I155" s="120">
        <f>SUMPRODUCT(('Week 8'!E14)*('Week 8'!F14)*('Week 8'!G14))+SUMPRODUCT(('Week 8'!E15)*('Week 8'!F15)*('Week 8'!G15))</f>
        <v>0</v>
      </c>
      <c r="J155" s="120">
        <f>SUMPRODUCT(('Week 9'!E14)*('Week 9'!F14)*('Week 9'!G14))+SUMPRODUCT(('Week 9'!E15)*('Week 9'!F15)*('Week 9'!G15))</f>
        <v>0</v>
      </c>
      <c r="K155" s="120">
        <f>SUMPRODUCT(('Week 10'!E14)*('Week 10'!F14)*('Week 10'!G14))+SUMPRODUCT(('Week 10'!E15)*('Week 10'!F15)*('Week 10'!G15))</f>
        <v>0</v>
      </c>
      <c r="L155" s="120">
        <f>SUMPRODUCT(('Week 11'!E14)*('Week 11'!F14)*('Week 11'!G14))+SUMPRODUCT(('Week 11'!E15)*('Week 11'!F15)*('Week 11'!G15))</f>
        <v>0</v>
      </c>
      <c r="M155" s="120">
        <f>SUMPRODUCT(('Week 12'!E14)*('Week 12'!F14)*('Week 12'!G14))+SUMPRODUCT(('Week 12'!E15)*('Week 12'!F15)*('Week 12'!G15))</f>
        <v>0</v>
      </c>
      <c r="N155" s="120">
        <f t="shared" si="22"/>
        <v>2170</v>
      </c>
    </row>
    <row r="156" spans="1:17" x14ac:dyDescent="0.25">
      <c r="A156" t="s">
        <v>276</v>
      </c>
      <c r="B156" s="102">
        <f>SUMPRODUCT(('Week 1'!E8)*('Week 1'!F8)*('Week 1'!G8))+SUMPRODUCT(('Week 1'!E16)*('Week 1'!F16)*('Week 1'!G16))+SUMPRODUCT(('Week 1'!E17)*('Week 1'!F17)*('Week 1'!G17))+SUMPRODUCT(('Week 1'!E35)*('Week 1'!F35)*('Week 1'!G35))</f>
        <v>2060</v>
      </c>
      <c r="C156" s="102">
        <f>SUMPRODUCT(('Week 2'!E8)*('Week 2'!F8)*('Week 2'!G8))+SUMPRODUCT(('Week 2'!E16)*('Week 2'!F16)*('Week 2'!G16))+SUMPRODUCT(('Week 2'!E17)*('Week 2'!F17)*('Week 2'!G17))+SUMPRODUCT(('Week 2'!E35)*('Week 2'!F35)*('Week 2'!G35))</f>
        <v>0</v>
      </c>
      <c r="D156" s="102">
        <f>SUMPRODUCT(('Week 3'!E8)*('Week 3'!F8)*('Week 3'!G8))+SUMPRODUCT(('Week 3'!E16)*('Week 3'!F16)*('Week 3'!G16))+SUMPRODUCT(('Week 3'!E17)*('Week 3'!F17)*('Week 3'!G17))+SUMPRODUCT(('Week 3'!E35)*('Week 3'!F35)*('Week 3'!G35))</f>
        <v>0</v>
      </c>
      <c r="E156" s="102">
        <f>SUMPRODUCT(('Week 4'!E8)*('Week 4'!F8)*('Week 4'!G8))+SUMPRODUCT(('Week 4'!E16)*('Week 4'!F16)*('Week 4'!G16))+SUMPRODUCT(('Week 4'!E17)*('Week 4'!F17)*('Week 4'!G17))+SUMPRODUCT(('Week 4'!E35)*('Week 4'!F35)*('Week 4'!G35))</f>
        <v>0</v>
      </c>
      <c r="F156" s="102">
        <f>SUMPRODUCT(('Week 5'!E8)*('Week 5'!F8)*('Week 5'!G8))+SUMPRODUCT(('Week 5'!E16)*('Week 5'!F16)*('Week 5'!G16))+SUMPRODUCT(('Week 5'!E17)*('Week 5'!F17)*('Week 5'!G17))+SUMPRODUCT(('Week 5'!E35)*('Week 5'!F35)*('Week 5'!G35))</f>
        <v>0</v>
      </c>
      <c r="G156" s="102">
        <f>SUMPRODUCT(('Week 6'!E8)*('Week 6'!F8)*('Week 6'!G8))+SUMPRODUCT(('Week 6'!E16)*('Week 6'!F16)*('Week 6'!G16))+SUMPRODUCT(('Week 6'!E17)*('Week 6'!F17)*('Week 6'!G17))+SUMPRODUCT(('Week 6'!E35)*('Week 6'!F35)*('Week 6'!G35))</f>
        <v>0</v>
      </c>
      <c r="H156" s="102">
        <f>SUMPRODUCT(('Week 7'!E8)*('Week 7'!F8)*('Week 7'!G8))+SUMPRODUCT(('Week 7'!E16)*('Week 7'!F16)*('Week 7'!G16))+SUMPRODUCT(('Week 7'!E17)*('Week 7'!F17)*('Week 7'!G17))+SUMPRODUCT(('Week 7'!E35)*('Week 7'!F35)*('Week 7'!G35))</f>
        <v>0</v>
      </c>
      <c r="I156" s="102">
        <f>SUMPRODUCT(('Week 8'!E8)*('Week 8'!F8)*('Week 8'!G8))+SUMPRODUCT(('Week 8'!E16)*('Week 8'!F16)*('Week 8'!G16))+SUMPRODUCT(('Week 8'!E17)*('Week 8'!F17)*('Week 8'!G17))+SUMPRODUCT(('Week 8'!E35)*('Week 8'!F35)*('Week 8'!G35))</f>
        <v>0</v>
      </c>
      <c r="J156" s="102">
        <f>SUMPRODUCT(('Week 9'!E8)*('Week 9'!F8)*('Week 9'!G8))+SUMPRODUCT(('Week 9'!E16)*('Week 9'!F16)*('Week 9'!G16))+SUMPRODUCT(('Week 9'!E17)*('Week 9'!F17)*('Week 9'!G17))+SUMPRODUCT(('Week 9'!E35)*('Week 9'!F35)*('Week 9'!G35))</f>
        <v>0</v>
      </c>
      <c r="K156" s="102">
        <f>SUMPRODUCT(('Week 10'!E8)*('Week 10'!F8)*('Week 10'!G8))+SUMPRODUCT(('Week 10'!E16)*('Week 10'!F16)*('Week 10'!G16))+SUMPRODUCT(('Week 10'!E17)*('Week 10'!F17)*('Week 10'!G17))+SUMPRODUCT(('Week 10'!E35)*('Week 10'!F35)*('Week 10'!G35))</f>
        <v>0</v>
      </c>
      <c r="L156" s="102">
        <f>SUMPRODUCT(('Week 11'!E8)*('Week 11'!F8)*('Week 11'!G8))+SUMPRODUCT(('Week 11'!E16)*('Week 11'!F16)*('Week 11'!G16))+SUMPRODUCT(('Week 11'!E17)*('Week 11'!F17)*('Week 11'!G17))+SUMPRODUCT(('Week 11'!E35)*('Week 11'!F35)*('Week 11'!G35))</f>
        <v>0</v>
      </c>
      <c r="M156" s="102">
        <f>SUMPRODUCT(('Week 12'!E8)*('Week 12'!F8)*('Week 12'!G8))+SUMPRODUCT(('Week 12'!E16)*('Week 12'!F16)*('Week 12'!G16))+SUMPRODUCT(('Week 12'!E17)*('Week 12'!F17)*('Week 12'!G17))+SUMPRODUCT(('Week 12'!E35)*('Week 12'!F35)*('Week 12'!G35))</f>
        <v>0</v>
      </c>
      <c r="N156" s="102">
        <f t="shared" si="22"/>
        <v>2060</v>
      </c>
    </row>
    <row r="157" spans="1:17" x14ac:dyDescent="0.25">
      <c r="A157" s="119" t="s">
        <v>192</v>
      </c>
      <c r="B157" s="120">
        <f>SUMPRODUCT(('Week 1'!E28)*('Week 1'!F28)*('Week 1'!G28))+SUMPRODUCT(('Week 1'!E30)*('Week 1'!F30)*('Week 1'!G30))+SUMPRODUCT(('Week 1'!E34)*('Week 1'!F34)*('Week 1'!G34))</f>
        <v>1475</v>
      </c>
      <c r="C157" s="120">
        <f>SUMPRODUCT(('Week 2'!E28)*('Week 2'!F28)*('Week 2'!G28))+SUMPRODUCT(('Week 2'!E30)*('Week 2'!F30)*('Week 2'!G30))+SUMPRODUCT(('Week 2'!E34)*('Week 2'!F34)*('Week 2'!G34))</f>
        <v>0</v>
      </c>
      <c r="D157" s="120">
        <f>SUMPRODUCT(('Week 3'!E28)*('Week 3'!F28)*('Week 3'!G28))+SUMPRODUCT(('Week 3'!E30)*('Week 3'!F30)*('Week 3'!G30))+SUMPRODUCT(('Week 3'!E34)*('Week 3'!F34)*('Week 3'!G34))</f>
        <v>0</v>
      </c>
      <c r="E157" s="120">
        <f>SUMPRODUCT(('Week 4'!E28)*('Week 4'!F28)*('Week 4'!G28))+SUMPRODUCT(('Week 4'!E30)*('Week 4'!F30)*('Week 4'!G30))+SUMPRODUCT(('Week 4'!E34)*('Week 4'!F34)*('Week 4'!G34))</f>
        <v>0</v>
      </c>
      <c r="F157" s="120">
        <f>SUMPRODUCT(('Week 5'!E28)*('Week 5'!F28)*('Week 5'!G28))+SUMPRODUCT(('Week 5'!E30)*('Week 5'!F30)*('Week 5'!G30))+SUMPRODUCT(('Week 5'!E34)*('Week 5'!F34)*('Week 5'!G34))</f>
        <v>0</v>
      </c>
      <c r="G157" s="120">
        <f>SUMPRODUCT(('Week 6'!E28)*('Week 6'!F28)*('Week 6'!G28))+SUMPRODUCT(('Week 6'!E30)*('Week 6'!F30)*('Week 6'!G30))+SUMPRODUCT(('Week 6'!E34)*('Week 6'!F34)*('Week 6'!G34))</f>
        <v>0</v>
      </c>
      <c r="H157" s="120">
        <f>SUMPRODUCT(('Week 7'!E28)*('Week 7'!F28)*('Week 7'!G28))+SUMPRODUCT(('Week 7'!E30)*('Week 7'!F30)*('Week 7'!G30))+SUMPRODUCT(('Week 7'!E34)*('Week 7'!F34)*('Week 7'!G34))</f>
        <v>0</v>
      </c>
      <c r="I157" s="120">
        <f>SUMPRODUCT(('Week 8'!E28)*('Week 8'!F28)*('Week 8'!G28))+SUMPRODUCT(('Week 8'!E30)*('Week 8'!F30)*('Week 8'!G30))+SUMPRODUCT(('Week 8'!E34)*('Week 8'!F34)*('Week 8'!G34))</f>
        <v>0</v>
      </c>
      <c r="J157" s="120">
        <f>SUMPRODUCT(('Week 9'!E28)*('Week 9'!F28)*('Week 9'!G28))+SUMPRODUCT(('Week 9'!E30)*('Week 9'!F30)*('Week 9'!G30))+SUMPRODUCT(('Week 9'!E34)*('Week 9'!F34)*('Week 9'!G34))</f>
        <v>0</v>
      </c>
      <c r="K157" s="120">
        <f>SUMPRODUCT(('Week 10'!E28)*('Week 10'!F28)*('Week 10'!G28))+SUMPRODUCT(('Week 10'!E30)*('Week 10'!F30)*('Week 10'!G30))+SUMPRODUCT(('Week 10'!E34)*('Week 10'!F34)*('Week 10'!G34))</f>
        <v>0</v>
      </c>
      <c r="L157" s="120">
        <f>SUMPRODUCT(('Week 11'!E28)*('Week 11'!F28)*('Week 11'!G28))+SUMPRODUCT(('Week 11'!E30)*('Week 11'!F30)*('Week 11'!G30))+SUMPRODUCT(('Week 11'!E34)*('Week 11'!F34)*('Week 11'!G34))</f>
        <v>0</v>
      </c>
      <c r="M157" s="120">
        <f>SUMPRODUCT(('Week 12'!E28)*('Week 12'!F28)*('Week 12'!G28))+SUMPRODUCT(('Week 12'!E30)*('Week 12'!F30)*('Week 12'!G30))+SUMPRODUCT(('Week 12'!E34)*('Week 12'!F34)*('Week 12'!G34))</f>
        <v>0</v>
      </c>
      <c r="N157" s="120">
        <f t="shared" si="22"/>
        <v>1475</v>
      </c>
    </row>
    <row r="158" spans="1:17" x14ac:dyDescent="0.25">
      <c r="A158" t="s">
        <v>193</v>
      </c>
      <c r="B158" s="102">
        <f>SUMPRODUCT(('Week 1'!E29)*('Week 1'!F29)*('Week 1'!G29))+SUMPRODUCT(('Week 1'!E31)*('Week 1'!F31)*('Week 1'!G31))</f>
        <v>670</v>
      </c>
      <c r="C158" s="102">
        <f>SUMPRODUCT(('Week 2'!E29)*('Week 2'!F29)*('Week 2'!G29))+SUMPRODUCT(('Week 2'!E31)*('Week 2'!F31)*('Week 2'!G31))</f>
        <v>0</v>
      </c>
      <c r="D158" s="102">
        <f>SUMPRODUCT(('Week 3'!E29)*('Week 3'!F29)*('Week 3'!G29))+SUMPRODUCT(('Week 3'!E31)*('Week 3'!F31)*('Week 3'!G31))</f>
        <v>0</v>
      </c>
      <c r="E158" s="102">
        <f>SUMPRODUCT(('Week 4'!E29)*('Week 4'!F29)*('Week 4'!G29))+SUMPRODUCT(('Week 4'!E31)*('Week 4'!F31)*('Week 4'!G31))</f>
        <v>0</v>
      </c>
      <c r="F158" s="102">
        <f>SUMPRODUCT(('Week 5'!E29)*('Week 5'!F29)*('Week 5'!G29))+SUMPRODUCT(('Week 5'!E31)*('Week 5'!F31)*('Week 5'!G31))</f>
        <v>0</v>
      </c>
      <c r="G158" s="102">
        <f>SUMPRODUCT(('Week 6'!E29)*('Week 6'!F29)*('Week 6'!G29))+SUMPRODUCT(('Week 6'!E31)*('Week 6'!F31)*('Week 6'!G31))</f>
        <v>0</v>
      </c>
      <c r="H158" s="102">
        <f>SUMPRODUCT(('Week 7'!E29)*('Week 7'!F29)*('Week 7'!G29))+SUMPRODUCT(('Week 7'!E31)*('Week 7'!F31)*('Week 7'!G31))</f>
        <v>0</v>
      </c>
      <c r="I158" s="102">
        <f>SUMPRODUCT(('Week 8'!E29)*('Week 8'!F29)*('Week 8'!G29))+SUMPRODUCT(('Week 8'!E31)*('Week 8'!F31)*('Week 8'!G31))</f>
        <v>0</v>
      </c>
      <c r="J158" s="102">
        <f>SUMPRODUCT(('Week 9'!E29)*('Week 9'!F29)*('Week 9'!G29))+SUMPRODUCT(('Week 9'!E31)*('Week 9'!F31)*('Week 9'!G31))</f>
        <v>0</v>
      </c>
      <c r="K158" s="102">
        <f>SUMPRODUCT(('Week 10'!E29)*('Week 10'!F29)*('Week 10'!G29))+SUMPRODUCT(('Week 10'!E31)*('Week 10'!F31)*('Week 10'!G31))</f>
        <v>0</v>
      </c>
      <c r="L158" s="102">
        <f>SUMPRODUCT(('Week 11'!E29)*('Week 11'!F29)*('Week 11'!G29))+SUMPRODUCT(('Week 11'!E31)*('Week 11'!F31)*('Week 11'!G31))</f>
        <v>0</v>
      </c>
      <c r="M158" s="102">
        <f>SUMPRODUCT(('Week 12'!E29)*('Week 12'!F29)*('Week 12'!G29))+SUMPRODUCT(('Week 12'!E31)*('Week 12'!F31)*('Week 12'!G31))</f>
        <v>0</v>
      </c>
      <c r="N158" s="102">
        <f t="shared" si="22"/>
        <v>670</v>
      </c>
    </row>
    <row r="159" spans="1:17" x14ac:dyDescent="0.25">
      <c r="A159" s="119" t="s">
        <v>229</v>
      </c>
      <c r="B159" s="120">
        <f>SUMPRODUCT(('Week 1'!E32)*('Week 1'!F32)*('Week 1'!G32))+SUMPRODUCT(('Week 1'!E33)*('Week 1'!F33)*('Week 1'!G33))</f>
        <v>850</v>
      </c>
      <c r="C159" s="120">
        <f>SUMPRODUCT(('Week 2'!E32)*('Week 2'!F32)*('Week 2'!G32))+SUMPRODUCT(('Week 2'!E33)*('Week 2'!F33)*('Week 2'!G33))</f>
        <v>0</v>
      </c>
      <c r="D159" s="120">
        <f>SUMPRODUCT(('Week 3'!E32)*('Week 3'!F32)*('Week 3'!G32))+SUMPRODUCT(('Week 3'!E33)*('Week 3'!F33)*('Week 3'!G33))</f>
        <v>0</v>
      </c>
      <c r="E159" s="120">
        <f>SUMPRODUCT(('Week 4'!E32)*('Week 4'!F32)*('Week 4'!G32))+SUMPRODUCT(('Week 4'!E33)*('Week 4'!F33)*('Week 4'!G33))</f>
        <v>0</v>
      </c>
      <c r="F159" s="120">
        <f>SUMPRODUCT(('Week 5'!E32)*('Week 5'!F32)*('Week 5'!G32))+SUMPRODUCT(('Week 5'!E33)*('Week 5'!F33)*('Week 5'!G33))</f>
        <v>0</v>
      </c>
      <c r="G159" s="120">
        <f>SUMPRODUCT(('Week 6'!E32)*('Week 6'!F32)*('Week 6'!G32))+SUMPRODUCT(('Week 6'!E33)*('Week 6'!F33)*('Week 6'!G33))</f>
        <v>0</v>
      </c>
      <c r="H159" s="120">
        <f>SUMPRODUCT(('Week 7'!E32)*('Week 7'!F32)*('Week 7'!G32))+SUMPRODUCT(('Week 7'!E33)*('Week 7'!F33)*('Week 7'!G33))</f>
        <v>0</v>
      </c>
      <c r="I159" s="120">
        <f>SUMPRODUCT(('Week 8'!E32)*('Week 8'!F32)*('Week 8'!G32))+SUMPRODUCT(('Week 8'!E33)*('Week 8'!F33)*('Week 8'!G33))</f>
        <v>0</v>
      </c>
      <c r="J159" s="120">
        <f>SUMPRODUCT(('Week 9'!E32)*('Week 9'!F32)*('Week 9'!G32))+SUMPRODUCT(('Week 9'!E33)*('Week 9'!F33)*('Week 9'!G33))</f>
        <v>0</v>
      </c>
      <c r="K159" s="120">
        <f>SUMPRODUCT(('Week 10'!E32)*('Week 10'!F32)*('Week 10'!G32))+SUMPRODUCT(('Week 10'!E33)*('Week 10'!F33)*('Week 10'!G33))</f>
        <v>0</v>
      </c>
      <c r="L159" s="120">
        <f>SUMPRODUCT(('Week 11'!E32)*('Week 11'!F32)*('Week 11'!G32))+SUMPRODUCT(('Week 11'!E33)*('Week 11'!F33)*('Week 11'!G33))</f>
        <v>0</v>
      </c>
      <c r="M159" s="120">
        <f>SUMPRODUCT(('Week 12'!E32)*('Week 12'!F32)*('Week 12'!G32))+SUMPRODUCT(('Week 12'!E33)*('Week 12'!F33)*('Week 12'!G33))</f>
        <v>0</v>
      </c>
      <c r="N159" s="120">
        <f t="shared" si="22"/>
        <v>850</v>
      </c>
    </row>
    <row r="160" spans="1:17" x14ac:dyDescent="0.25">
      <c r="A160" t="s">
        <v>194</v>
      </c>
      <c r="B160" s="102">
        <f>SUMPRODUCT(('Week 1'!E10)*('Week 1'!F10)*('Week 1'!G10))+SUMPRODUCT(('Week 1'!E26)*('Week 1'!F26)*('Week 1'!G26))</f>
        <v>1350</v>
      </c>
      <c r="C160" s="102">
        <f>SUMPRODUCT(('Week 2'!E10)*('Week 2'!F10)*('Week 2'!G10))+SUMPRODUCT(('Week 2'!E26)*('Week 2'!F26)*('Week 2'!G26))</f>
        <v>0</v>
      </c>
      <c r="D160" s="102">
        <f>SUMPRODUCT(('Week 3'!E10)*('Week 3'!F10)*('Week 3'!G10))+SUMPRODUCT(('Week 3'!E26)*('Week 3'!F26)*('Week 3'!G26))</f>
        <v>0</v>
      </c>
      <c r="E160" s="102">
        <f>SUMPRODUCT(('Week 4'!E10)*('Week 4'!F10)*('Week 4'!G10))+SUMPRODUCT(('Week 4'!E26)*('Week 4'!F26)*('Week 4'!G26))</f>
        <v>0</v>
      </c>
      <c r="F160" s="102">
        <f>SUMPRODUCT(('Week 5'!E10)*('Week 5'!F10)*('Week 5'!G10))+SUMPRODUCT(('Week 5'!E26)*('Week 5'!F26)*('Week 5'!G26))</f>
        <v>0</v>
      </c>
      <c r="G160" s="102">
        <f>SUMPRODUCT(('Week 6'!E10)*('Week 6'!F10)*('Week 6'!G10))+SUMPRODUCT(('Week 6'!E26)*('Week 6'!F26)*('Week 6'!G26))</f>
        <v>0</v>
      </c>
      <c r="H160" s="102">
        <f>SUMPRODUCT(('Week 7'!E10)*('Week 7'!F10)*('Week 7'!G10))+SUMPRODUCT(('Week 7'!E26)*('Week 7'!F26)*('Week 7'!G26))</f>
        <v>0</v>
      </c>
      <c r="I160" s="102">
        <f>SUMPRODUCT(('Week 8'!E10)*('Week 8'!F10)*('Week 8'!G10))+SUMPRODUCT(('Week 8'!E26)*('Week 8'!F26)*('Week 8'!G26))</f>
        <v>0</v>
      </c>
      <c r="J160" s="102">
        <f>SUMPRODUCT(('Week 9'!E10)*('Week 9'!F10)*('Week 9'!G10))+SUMPRODUCT(('Week 9'!E26)*('Week 9'!F26)*('Week 9'!G26))</f>
        <v>0</v>
      </c>
      <c r="K160" s="102">
        <f>SUMPRODUCT(('Week 10'!E10)*('Week 10'!F10)*('Week 10'!G10))+SUMPRODUCT(('Week 10'!E26)*('Week 10'!F26)*('Week 10'!G26))</f>
        <v>0</v>
      </c>
      <c r="L160" s="102">
        <f>SUMPRODUCT(('Week 11'!E10)*('Week 11'!F10)*('Week 11'!G10))+SUMPRODUCT(('Week 11'!E26)*('Week 11'!F26)*('Week 11'!G26))</f>
        <v>0</v>
      </c>
      <c r="M160" s="102">
        <f>SUMPRODUCT(('Week 12'!E10)*('Week 12'!F10)*('Week 12'!G10))+SUMPRODUCT(('Week 12'!E26)*('Week 12'!F26)*('Week 12'!G26))</f>
        <v>0</v>
      </c>
      <c r="N160" s="102">
        <f t="shared" si="22"/>
        <v>1350</v>
      </c>
    </row>
    <row r="161" spans="1:14" x14ac:dyDescent="0.25">
      <c r="A161" s="119" t="s">
        <v>228</v>
      </c>
      <c r="B161" s="120">
        <f>SUMPRODUCT(('Week 1'!E18)*('Week 1'!F18)*('Week 1'!G18))</f>
        <v>0</v>
      </c>
      <c r="C161" s="120">
        <f>SUMPRODUCT(('Week 2'!E18)*('Week 2'!F18)*('Week 2'!G18))</f>
        <v>0</v>
      </c>
      <c r="D161" s="120">
        <f>SUMPRODUCT(('Week 3'!E18)*('Week 3'!F18)*('Week 3'!G18))</f>
        <v>0</v>
      </c>
      <c r="E161" s="120">
        <f>SUMPRODUCT(('Week 4'!E18)*('Week 4'!F18)*('Week 4'!G18))</f>
        <v>0</v>
      </c>
      <c r="F161" s="120">
        <f>SUMPRODUCT(('Week 5'!E18)*('Week 5'!F18)*('Week 5'!G18))</f>
        <v>0</v>
      </c>
      <c r="G161" s="120">
        <f>SUMPRODUCT(('Week 6'!E18)*('Week 6'!F18)*('Week 6'!G18))</f>
        <v>0</v>
      </c>
      <c r="H161" s="120">
        <f>SUMPRODUCT(('Week 7'!E18)*('Week 7'!F18)*('Week 7'!G18))</f>
        <v>0</v>
      </c>
      <c r="I161" s="120">
        <f>SUMPRODUCT(('Week 8'!E18)*('Week 8'!F18)*('Week 8'!G18))</f>
        <v>0</v>
      </c>
      <c r="J161" s="120">
        <f>SUMPRODUCT(('Week 9'!E18)*('Week 9'!F18)*('Week 9'!G18))</f>
        <v>0</v>
      </c>
      <c r="K161" s="120">
        <f>SUMPRODUCT(('Week 10'!E18)*('Week 10'!F18)*('Week 10'!G18))</f>
        <v>0</v>
      </c>
      <c r="L161" s="120">
        <f>SUMPRODUCT(('Week 11'!E18)*('Week 11'!F18)*('Week 11'!G18))</f>
        <v>0</v>
      </c>
      <c r="M161" s="120">
        <f>SUMPRODUCT(('Week 12'!E18)*('Week 12'!F18)*('Week 12'!G18))</f>
        <v>0</v>
      </c>
      <c r="N161" s="120">
        <f t="shared" si="22"/>
        <v>0</v>
      </c>
    </row>
    <row r="162" spans="1:14" ht="13" x14ac:dyDescent="0.3">
      <c r="A162" s="96" t="s">
        <v>277</v>
      </c>
      <c r="B162" s="122">
        <f t="shared" ref="B162:M162" si="23">SUM(B151:B161)</f>
        <v>19825</v>
      </c>
      <c r="C162" s="122">
        <f t="shared" si="23"/>
        <v>0</v>
      </c>
      <c r="D162" s="122">
        <f t="shared" si="23"/>
        <v>0</v>
      </c>
      <c r="E162" s="122">
        <f t="shared" si="23"/>
        <v>0</v>
      </c>
      <c r="F162" s="122">
        <f t="shared" si="23"/>
        <v>0</v>
      </c>
      <c r="G162" s="122">
        <f t="shared" si="23"/>
        <v>0</v>
      </c>
      <c r="H162" s="122">
        <f t="shared" si="23"/>
        <v>0</v>
      </c>
      <c r="I162" s="122">
        <f t="shared" si="23"/>
        <v>0</v>
      </c>
      <c r="J162" s="122">
        <f t="shared" si="23"/>
        <v>0</v>
      </c>
      <c r="K162" s="122">
        <f t="shared" si="23"/>
        <v>0</v>
      </c>
      <c r="L162" s="122">
        <f t="shared" si="23"/>
        <v>0</v>
      </c>
      <c r="M162" s="122">
        <f t="shared" si="23"/>
        <v>0</v>
      </c>
      <c r="N162" s="122">
        <f t="shared" si="22"/>
        <v>19825</v>
      </c>
    </row>
    <row r="165" spans="1:14" ht="18" x14ac:dyDescent="0.4">
      <c r="A165" s="92" t="s">
        <v>279</v>
      </c>
    </row>
    <row r="166" spans="1:14" ht="13" x14ac:dyDescent="0.3">
      <c r="A166" s="95" t="s">
        <v>280</v>
      </c>
    </row>
    <row r="168" spans="1:14" ht="13" x14ac:dyDescent="0.3">
      <c r="A168" s="93" t="s">
        <v>7</v>
      </c>
      <c r="B168" s="93" t="s">
        <v>174</v>
      </c>
      <c r="C168" s="93" t="s">
        <v>175</v>
      </c>
      <c r="D168" s="93" t="s">
        <v>176</v>
      </c>
      <c r="E168" s="93" t="s">
        <v>177</v>
      </c>
      <c r="F168" s="93" t="s">
        <v>178</v>
      </c>
      <c r="G168" s="93" t="s">
        <v>179</v>
      </c>
      <c r="H168" s="93" t="s">
        <v>180</v>
      </c>
      <c r="I168" s="93" t="s">
        <v>181</v>
      </c>
      <c r="J168" s="93" t="s">
        <v>182</v>
      </c>
      <c r="K168" s="93" t="s">
        <v>183</v>
      </c>
      <c r="L168" s="93" t="s">
        <v>184</v>
      </c>
      <c r="M168" s="93" t="s">
        <v>185</v>
      </c>
      <c r="N168" s="93" t="s">
        <v>281</v>
      </c>
    </row>
    <row r="169" spans="1:14" x14ac:dyDescent="0.25">
      <c r="A169" t="s">
        <v>41</v>
      </c>
      <c r="B169" s="125" t="str">
        <f>IFERROR(IF(AND(INDEX('Week 1'!$F:$F,MATCH(A169,'Week 1'!$A:$A,0))&gt;0,INDEX($B$66:$M$91,MATCH(A169,$A$66:$A$91,0),1)&gt;0),INDEX('Week 1'!$F:$F,MATCH(A169,'Week 1'!$A:$A,0))/INDEX($B$66:$M$91,MATCH(A169,$A$66:$A$91,0),1)*100,""),"")</f>
        <v/>
      </c>
      <c r="C169" s="125" t="str">
        <f>IFERROR(IF(AND(INDEX('Week 2'!$F:$F,MATCH(A169,'Week 2'!$A:$A,0))&gt;0,INDEX($B$66:$M$91,MATCH(A169,$A$66:$A$91,0),2)&gt;0),INDEX('Week 2'!$F:$F,MATCH(A169,'Week 2'!$A:$A,0))/INDEX($B$66:$M$91,MATCH(A169,$A$66:$A$91,0),2)*100,""),"")</f>
        <v/>
      </c>
      <c r="D169" s="125" t="str">
        <f>IFERROR(IF(AND(INDEX('Week 3'!$F:$F,MATCH(A169,'Week 3'!$A:$A,0))&gt;0,INDEX($B$66:$M$91,MATCH(A169,$A$66:$A$91,0),3)&gt;0),INDEX('Week 3'!$F:$F,MATCH(A169,'Week 3'!$A:$A,0))/INDEX($B$66:$M$91,MATCH(A169,$A$66:$A$91,0),3)*100,""),"")</f>
        <v/>
      </c>
      <c r="E169" s="125" t="str">
        <f>IFERROR(IF(AND(INDEX('Week 4'!$F:$F,MATCH(A169,'Week 4'!$A:$A,0))&gt;0,INDEX($B$66:$M$91,MATCH(A169,$A$66:$A$91,0),4)&gt;0),INDEX('Week 4'!$F:$F,MATCH(A169,'Week 4'!$A:$A,0))/INDEX($B$66:$M$91,MATCH(A169,$A$66:$A$91,0),4)*100,""),"")</f>
        <v/>
      </c>
      <c r="F169" s="125" t="str">
        <f>IFERROR(IF(AND(INDEX('Week 5'!$F:$F,MATCH(A169,'Week 5'!$A:$A,0))&gt;0,INDEX($B$66:$M$91,MATCH(A169,$A$66:$A$91,0),5)&gt;0),INDEX('Week 5'!$F:$F,MATCH(A169,'Week 5'!$A:$A,0))/INDEX($B$66:$M$91,MATCH(A169,$A$66:$A$91,0),5)*100,""),"")</f>
        <v/>
      </c>
      <c r="G169" s="125" t="str">
        <f>IFERROR(IF(AND(INDEX('Week 6'!$F:$F,MATCH(A169,'Week 6'!$A:$A,0))&gt;0,INDEX($B$66:$M$91,MATCH(A169,$A$66:$A$91,0),6)&gt;0),INDEX('Week 6'!$F:$F,MATCH(A169,'Week 6'!$A:$A,0))/INDEX($B$66:$M$91,MATCH(A169,$A$66:$A$91,0),6)*100,""),"")</f>
        <v/>
      </c>
      <c r="H169" s="125" t="str">
        <f>IFERROR(IF(AND(INDEX('Week 7'!$F:$F,MATCH(A169,'Week 7'!$A:$A,0))&gt;0,INDEX($B$66:$M$91,MATCH(A169,$A$66:$A$91,0),7)&gt;0),INDEX('Week 7'!$F:$F,MATCH(A169,'Week 7'!$A:$A,0))/INDEX($B$66:$M$91,MATCH(A169,$A$66:$A$91,0),7)*100,""),"")</f>
        <v/>
      </c>
      <c r="I169" s="125" t="str">
        <f>IFERROR(IF(AND(INDEX('Week 8'!$F:$F,MATCH(A169,'Week 8'!$A:$A,0))&gt;0,INDEX($B$66:$M$91,MATCH(A169,$A$66:$A$91,0),8)&gt;0),INDEX('Week 8'!$F:$F,MATCH(A169,'Week 8'!$A:$A,0))/INDEX($B$66:$M$91,MATCH(A169,$A$66:$A$91,0),8)*100,""),"")</f>
        <v/>
      </c>
      <c r="J169" s="125" t="str">
        <f>IFERROR(IF(AND(INDEX('Week 9'!$F:$F,MATCH(A169,'Week 9'!$A:$A,0))&gt;0,INDEX($B$66:$M$91,MATCH(A169,$A$66:$A$91,0),9)&gt;0),INDEX('Week 9'!$F:$F,MATCH(A169,'Week 9'!$A:$A,0))/INDEX($B$66:$M$91,MATCH(A169,$A$66:$A$91,0),9)*100,""),"")</f>
        <v/>
      </c>
      <c r="K169" s="125" t="str">
        <f>IFERROR(IF(AND(INDEX('Week 10'!$F:$F,MATCH(A169,'Week 10'!$A:$A,0))&gt;0,INDEX($B$66:$M$91,MATCH(A169,$A$66:$A$91,0),10)&gt;0),INDEX('Week 10'!$F:$F,MATCH(A169,'Week 10'!$A:$A,0))/INDEX($B$66:$M$91,MATCH(A169,$A$66:$A$91,0),10)*100,""),"")</f>
        <v/>
      </c>
      <c r="L169" s="125" t="str">
        <f>IFERROR(IF(AND(INDEX('Week 11'!$F:$F,MATCH(A169,'Week 11'!$A:$A,0))&gt;0,INDEX($B$66:$M$91,MATCH(A169,$A$66:$A$91,0),11)&gt;0),INDEX('Week 11'!$F:$F,MATCH(A169,'Week 11'!$A:$A,0))/INDEX($B$66:$M$91,MATCH(A169,$A$66:$A$91,0),11)*100,""),"")</f>
        <v/>
      </c>
      <c r="M169" s="125" t="str">
        <f>IFERROR(IF(AND(INDEX('Week 12'!$F:$F,MATCH(A169,'Week 12'!$A:$A,0))&gt;0,INDEX($B$66:$M$91,MATCH(A169,$A$66:$A$91,0),12)&gt;0),INDEX('Week 12'!$F:$F,MATCH(A169,'Week 12'!$A:$A,0))/INDEX($B$66:$M$91,MATCH(A169,$A$66:$A$91,0),12)*100,""),"")</f>
        <v/>
      </c>
      <c r="N169" s="125" t="str">
        <f t="shared" ref="N169:N185" si="24">IFERROR(AVERAGE(B169:M169),"")</f>
        <v/>
      </c>
    </row>
    <row r="170" spans="1:14" x14ac:dyDescent="0.25">
      <c r="A170" t="s">
        <v>148</v>
      </c>
      <c r="B170" s="125">
        <f>IFERROR(IF(AND(INDEX('Week 1'!$F:$F,MATCH(A170,'Week 1'!$A:$A,0))&gt;0,INDEX($B$66:$M$91,MATCH(A170,$A$66:$A$91,0),1)&gt;0),INDEX('Week 1'!$F:$F,MATCH(A170,'Week 1'!$A:$A,0))/INDEX($B$66:$M$91,MATCH(A170,$A$66:$A$91,0),1)*100,""),"")</f>
        <v>78.917700112739567</v>
      </c>
      <c r="C170" s="125" t="str">
        <f>IFERROR(IF(AND(INDEX('Week 2'!$F:$F,MATCH(A170,'Week 2'!$A:$A,0))&gt;0,INDEX($B$66:$M$91,MATCH(A170,$A$66:$A$91,0),2)&gt;0),INDEX('Week 2'!$F:$F,MATCH(A170,'Week 2'!$A:$A,0))/INDEX($B$66:$M$91,MATCH(A170,$A$66:$A$91,0),2)*100,""),"")</f>
        <v/>
      </c>
      <c r="D170" s="125" t="str">
        <f>IFERROR(IF(AND(INDEX('Week 3'!$F:$F,MATCH(A170,'Week 3'!$A:$A,0))&gt;0,INDEX($B$66:$M$91,MATCH(A170,$A$66:$A$91,0),3)&gt;0),INDEX('Week 3'!$F:$F,MATCH(A170,'Week 3'!$A:$A,0))/INDEX($B$66:$M$91,MATCH(A170,$A$66:$A$91,0),3)*100,""),"")</f>
        <v/>
      </c>
      <c r="E170" s="125" t="str">
        <f>IFERROR(IF(AND(INDEX('Week 4'!$F:$F,MATCH(A170,'Week 4'!$A:$A,0))&gt;0,INDEX($B$66:$M$91,MATCH(A170,$A$66:$A$91,0),4)&gt;0),INDEX('Week 4'!$F:$F,MATCH(A170,'Week 4'!$A:$A,0))/INDEX($B$66:$M$91,MATCH(A170,$A$66:$A$91,0),4)*100,""),"")</f>
        <v/>
      </c>
      <c r="F170" s="125" t="str">
        <f>IFERROR(IF(AND(INDEX('Week 5'!$F:$F,MATCH(A170,'Week 5'!$A:$A,0))&gt;0,INDEX($B$66:$M$91,MATCH(A170,$A$66:$A$91,0),5)&gt;0),INDEX('Week 5'!$F:$F,MATCH(A170,'Week 5'!$A:$A,0))/INDEX($B$66:$M$91,MATCH(A170,$A$66:$A$91,0),5)*100,""),"")</f>
        <v/>
      </c>
      <c r="G170" s="125" t="str">
        <f>IFERROR(IF(AND(INDEX('Week 6'!$F:$F,MATCH(A170,'Week 6'!$A:$A,0))&gt;0,INDEX($B$66:$M$91,MATCH(A170,$A$66:$A$91,0),6)&gt;0),INDEX('Week 6'!$F:$F,MATCH(A170,'Week 6'!$A:$A,0))/INDEX($B$66:$M$91,MATCH(A170,$A$66:$A$91,0),6)*100,""),"")</f>
        <v/>
      </c>
      <c r="H170" s="125" t="str">
        <f>IFERROR(IF(AND(INDEX('Week 7'!$F:$F,MATCH(A170,'Week 7'!$A:$A,0))&gt;0,INDEX($B$66:$M$91,MATCH(A170,$A$66:$A$91,0),7)&gt;0),INDEX('Week 7'!$F:$F,MATCH(A170,'Week 7'!$A:$A,0))/INDEX($B$66:$M$91,MATCH(A170,$A$66:$A$91,0),7)*100,""),"")</f>
        <v/>
      </c>
      <c r="I170" s="125" t="str">
        <f>IFERROR(IF(AND(INDEX('Week 8'!$F:$F,MATCH(A170,'Week 8'!$A:$A,0))&gt;0,INDEX($B$66:$M$91,MATCH(A170,$A$66:$A$91,0),8)&gt;0),INDEX('Week 8'!$F:$F,MATCH(A170,'Week 8'!$A:$A,0))/INDEX($B$66:$M$91,MATCH(A170,$A$66:$A$91,0),8)*100,""),"")</f>
        <v/>
      </c>
      <c r="J170" s="125" t="str">
        <f>IFERROR(IF(AND(INDEX('Week 9'!$F:$F,MATCH(A170,'Week 9'!$A:$A,0))&gt;0,INDEX($B$66:$M$91,MATCH(A170,$A$66:$A$91,0),9)&gt;0),INDEX('Week 9'!$F:$F,MATCH(A170,'Week 9'!$A:$A,0))/INDEX($B$66:$M$91,MATCH(A170,$A$66:$A$91,0),9)*100,""),"")</f>
        <v/>
      </c>
      <c r="K170" s="125" t="str">
        <f>IFERROR(IF(AND(INDEX('Week 10'!$F:$F,MATCH(A170,'Week 10'!$A:$A,0))&gt;0,INDEX($B$66:$M$91,MATCH(A170,$A$66:$A$91,0),10)&gt;0),INDEX('Week 10'!$F:$F,MATCH(A170,'Week 10'!$A:$A,0))/INDEX($B$66:$M$91,MATCH(A170,$A$66:$A$91,0),10)*100,""),"")</f>
        <v/>
      </c>
      <c r="L170" s="125" t="str">
        <f>IFERROR(IF(AND(INDEX('Week 11'!$F:$F,MATCH(A170,'Week 11'!$A:$A,0))&gt;0,INDEX($B$66:$M$91,MATCH(A170,$A$66:$A$91,0),11)&gt;0),INDEX('Week 11'!$F:$F,MATCH(A170,'Week 11'!$A:$A,0))/INDEX($B$66:$M$91,MATCH(A170,$A$66:$A$91,0),11)*100,""),"")</f>
        <v/>
      </c>
      <c r="M170" s="125" t="str">
        <f>IFERROR(IF(AND(INDEX('Week 12'!$F:$F,MATCH(A170,'Week 12'!$A:$A,0))&gt;0,INDEX($B$66:$M$91,MATCH(A170,$A$66:$A$91,0),12)&gt;0),INDEX('Week 12'!$F:$F,MATCH(A170,'Week 12'!$A:$A,0))/INDEX($B$66:$M$91,MATCH(A170,$A$66:$A$91,0),12)*100,""),"")</f>
        <v/>
      </c>
      <c r="N170" s="125">
        <f t="shared" si="24"/>
        <v>78.917700112739567</v>
      </c>
    </row>
    <row r="171" spans="1:14" x14ac:dyDescent="0.25">
      <c r="A171" t="s">
        <v>28</v>
      </c>
      <c r="B171" s="125">
        <f>IFERROR(IF(AND(INDEX('Week 1'!$F:$F,MATCH(A171,'Week 1'!$A:$A,0))&gt;0,INDEX($B$66:$M$91,MATCH(A171,$A$66:$A$91,0),1)&gt;0),INDEX('Week 1'!$F:$F,MATCH(A171,'Week 1'!$A:$A,0))/INDEX($B$66:$M$91,MATCH(A171,$A$66:$A$91,0),1)*100,""),"")</f>
        <v>28.184892897406989</v>
      </c>
      <c r="C171" s="125" t="str">
        <f>IFERROR(IF(AND(INDEX('Week 2'!$F:$F,MATCH(A171,'Week 2'!$A:$A,0))&gt;0,INDEX($B$66:$M$91,MATCH(A171,$A$66:$A$91,0),2)&gt;0),INDEX('Week 2'!$F:$F,MATCH(A171,'Week 2'!$A:$A,0))/INDEX($B$66:$M$91,MATCH(A171,$A$66:$A$91,0),2)*100,""),"")</f>
        <v/>
      </c>
      <c r="D171" s="125" t="str">
        <f>IFERROR(IF(AND(INDEX('Week 3'!$F:$F,MATCH(A171,'Week 3'!$A:$A,0))&gt;0,INDEX($B$66:$M$91,MATCH(A171,$A$66:$A$91,0),3)&gt;0),INDEX('Week 3'!$F:$F,MATCH(A171,'Week 3'!$A:$A,0))/INDEX($B$66:$M$91,MATCH(A171,$A$66:$A$91,0),3)*100,""),"")</f>
        <v/>
      </c>
      <c r="E171" s="125" t="str">
        <f>IFERROR(IF(AND(INDEX('Week 4'!$F:$F,MATCH(A171,'Week 4'!$A:$A,0))&gt;0,INDEX($B$66:$M$91,MATCH(A171,$A$66:$A$91,0),4)&gt;0),INDEX('Week 4'!$F:$F,MATCH(A171,'Week 4'!$A:$A,0))/INDEX($B$66:$M$91,MATCH(A171,$A$66:$A$91,0),4)*100,""),"")</f>
        <v/>
      </c>
      <c r="F171" s="125" t="str">
        <f>IFERROR(IF(AND(INDEX('Week 5'!$F:$F,MATCH(A171,'Week 5'!$A:$A,0))&gt;0,INDEX($B$66:$M$91,MATCH(A171,$A$66:$A$91,0),5)&gt;0),INDEX('Week 5'!$F:$F,MATCH(A171,'Week 5'!$A:$A,0))/INDEX($B$66:$M$91,MATCH(A171,$A$66:$A$91,0),5)*100,""),"")</f>
        <v/>
      </c>
      <c r="G171" s="125" t="str">
        <f>IFERROR(IF(AND(INDEX('Week 6'!$F:$F,MATCH(A171,'Week 6'!$A:$A,0))&gt;0,INDEX($B$66:$M$91,MATCH(A171,$A$66:$A$91,0),6)&gt;0),INDEX('Week 6'!$F:$F,MATCH(A171,'Week 6'!$A:$A,0))/INDEX($B$66:$M$91,MATCH(A171,$A$66:$A$91,0),6)*100,""),"")</f>
        <v/>
      </c>
      <c r="H171" s="125" t="str">
        <f>IFERROR(IF(AND(INDEX('Week 7'!$F:$F,MATCH(A171,'Week 7'!$A:$A,0))&gt;0,INDEX($B$66:$M$91,MATCH(A171,$A$66:$A$91,0),7)&gt;0),INDEX('Week 7'!$F:$F,MATCH(A171,'Week 7'!$A:$A,0))/INDEX($B$66:$M$91,MATCH(A171,$A$66:$A$91,0),7)*100,""),"")</f>
        <v/>
      </c>
      <c r="I171" s="125" t="str">
        <f>IFERROR(IF(AND(INDEX('Week 8'!$F:$F,MATCH(A171,'Week 8'!$A:$A,0))&gt;0,INDEX($B$66:$M$91,MATCH(A171,$A$66:$A$91,0),8)&gt;0),INDEX('Week 8'!$F:$F,MATCH(A171,'Week 8'!$A:$A,0))/INDEX($B$66:$M$91,MATCH(A171,$A$66:$A$91,0),8)*100,""),"")</f>
        <v/>
      </c>
      <c r="J171" s="125" t="str">
        <f>IFERROR(IF(AND(INDEX('Week 9'!$F:$F,MATCH(A171,'Week 9'!$A:$A,0))&gt;0,INDEX($B$66:$M$91,MATCH(A171,$A$66:$A$91,0),9)&gt;0),INDEX('Week 9'!$F:$F,MATCH(A171,'Week 9'!$A:$A,0))/INDEX($B$66:$M$91,MATCH(A171,$A$66:$A$91,0),9)*100,""),"")</f>
        <v/>
      </c>
      <c r="K171" s="125" t="str">
        <f>IFERROR(IF(AND(INDEX('Week 10'!$F:$F,MATCH(A171,'Week 10'!$A:$A,0))&gt;0,INDEX($B$66:$M$91,MATCH(A171,$A$66:$A$91,0),10)&gt;0),INDEX('Week 10'!$F:$F,MATCH(A171,'Week 10'!$A:$A,0))/INDEX($B$66:$M$91,MATCH(A171,$A$66:$A$91,0),10)*100,""),"")</f>
        <v/>
      </c>
      <c r="L171" s="125" t="str">
        <f>IFERROR(IF(AND(INDEX('Week 11'!$F:$F,MATCH(A171,'Week 11'!$A:$A,0))&gt;0,INDEX($B$66:$M$91,MATCH(A171,$A$66:$A$91,0),11)&gt;0),INDEX('Week 11'!$F:$F,MATCH(A171,'Week 11'!$A:$A,0))/INDEX($B$66:$M$91,MATCH(A171,$A$66:$A$91,0),11)*100,""),"")</f>
        <v/>
      </c>
      <c r="M171" s="125" t="str">
        <f>IFERROR(IF(AND(INDEX('Week 12'!$F:$F,MATCH(A171,'Week 12'!$A:$A,0))&gt;0,INDEX($B$66:$M$91,MATCH(A171,$A$66:$A$91,0),12)&gt;0),INDEX('Week 12'!$F:$F,MATCH(A171,'Week 12'!$A:$A,0))/INDEX($B$66:$M$91,MATCH(A171,$A$66:$A$91,0),12)*100,""),"")</f>
        <v/>
      </c>
      <c r="N171" s="125">
        <f t="shared" si="24"/>
        <v>28.184892897406989</v>
      </c>
    </row>
    <row r="172" spans="1:14" x14ac:dyDescent="0.25">
      <c r="A172" t="s">
        <v>31</v>
      </c>
      <c r="B172" s="125">
        <f>IFERROR(IF(AND(INDEX('Week 1'!$F:$F,MATCH(A172,'Week 1'!$A:$A,0))&gt;0,INDEX($B$66:$M$91,MATCH(A172,$A$66:$A$91,0),1)&gt;0),INDEX('Week 1'!$F:$F,MATCH(A172,'Week 1'!$A:$A,0))/INDEX($B$66:$M$91,MATCH(A172,$A$66:$A$91,0),1)*100,""),"")</f>
        <v>23.65930599369085</v>
      </c>
      <c r="C172" s="125" t="str">
        <f>IFERROR(IF(AND(INDEX('Week 2'!$F:$F,MATCH(A172,'Week 2'!$A:$A,0))&gt;0,INDEX($B$66:$M$91,MATCH(A172,$A$66:$A$91,0),2)&gt;0),INDEX('Week 2'!$F:$F,MATCH(A172,'Week 2'!$A:$A,0))/INDEX($B$66:$M$91,MATCH(A172,$A$66:$A$91,0),2)*100,""),"")</f>
        <v/>
      </c>
      <c r="D172" s="125" t="str">
        <f>IFERROR(IF(AND(INDEX('Week 3'!$F:$F,MATCH(A172,'Week 3'!$A:$A,0))&gt;0,INDEX($B$66:$M$91,MATCH(A172,$A$66:$A$91,0),3)&gt;0),INDEX('Week 3'!$F:$F,MATCH(A172,'Week 3'!$A:$A,0))/INDEX($B$66:$M$91,MATCH(A172,$A$66:$A$91,0),3)*100,""),"")</f>
        <v/>
      </c>
      <c r="E172" s="125" t="str">
        <f>IFERROR(IF(AND(INDEX('Week 4'!$F:$F,MATCH(A172,'Week 4'!$A:$A,0))&gt;0,INDEX($B$66:$M$91,MATCH(A172,$A$66:$A$91,0),4)&gt;0),INDEX('Week 4'!$F:$F,MATCH(A172,'Week 4'!$A:$A,0))/INDEX($B$66:$M$91,MATCH(A172,$A$66:$A$91,0),4)*100,""),"")</f>
        <v/>
      </c>
      <c r="F172" s="125" t="str">
        <f>IFERROR(IF(AND(INDEX('Week 5'!$F:$F,MATCH(A172,'Week 5'!$A:$A,0))&gt;0,INDEX($B$66:$M$91,MATCH(A172,$A$66:$A$91,0),5)&gt;0),INDEX('Week 5'!$F:$F,MATCH(A172,'Week 5'!$A:$A,0))/INDEX($B$66:$M$91,MATCH(A172,$A$66:$A$91,0),5)*100,""),"")</f>
        <v/>
      </c>
      <c r="G172" s="125" t="str">
        <f>IFERROR(IF(AND(INDEX('Week 6'!$F:$F,MATCH(A172,'Week 6'!$A:$A,0))&gt;0,INDEX($B$66:$M$91,MATCH(A172,$A$66:$A$91,0),6)&gt;0),INDEX('Week 6'!$F:$F,MATCH(A172,'Week 6'!$A:$A,0))/INDEX($B$66:$M$91,MATCH(A172,$A$66:$A$91,0),6)*100,""),"")</f>
        <v/>
      </c>
      <c r="H172" s="125" t="str">
        <f>IFERROR(IF(AND(INDEX('Week 7'!$F:$F,MATCH(A172,'Week 7'!$A:$A,0))&gt;0,INDEX($B$66:$M$91,MATCH(A172,$A$66:$A$91,0),7)&gt;0),INDEX('Week 7'!$F:$F,MATCH(A172,'Week 7'!$A:$A,0))/INDEX($B$66:$M$91,MATCH(A172,$A$66:$A$91,0),7)*100,""),"")</f>
        <v/>
      </c>
      <c r="I172" s="125" t="str">
        <f>IFERROR(IF(AND(INDEX('Week 8'!$F:$F,MATCH(A172,'Week 8'!$A:$A,0))&gt;0,INDEX($B$66:$M$91,MATCH(A172,$A$66:$A$91,0),8)&gt;0),INDEX('Week 8'!$F:$F,MATCH(A172,'Week 8'!$A:$A,0))/INDEX($B$66:$M$91,MATCH(A172,$A$66:$A$91,0),8)*100,""),"")</f>
        <v/>
      </c>
      <c r="J172" s="125" t="str">
        <f>IFERROR(IF(AND(INDEX('Week 9'!$F:$F,MATCH(A172,'Week 9'!$A:$A,0))&gt;0,INDEX($B$66:$M$91,MATCH(A172,$A$66:$A$91,0),9)&gt;0),INDEX('Week 9'!$F:$F,MATCH(A172,'Week 9'!$A:$A,0))/INDEX($B$66:$M$91,MATCH(A172,$A$66:$A$91,0),9)*100,""),"")</f>
        <v/>
      </c>
      <c r="K172" s="125" t="str">
        <f>IFERROR(IF(AND(INDEX('Week 10'!$F:$F,MATCH(A172,'Week 10'!$A:$A,0))&gt;0,INDEX($B$66:$M$91,MATCH(A172,$A$66:$A$91,0),10)&gt;0),INDEX('Week 10'!$F:$F,MATCH(A172,'Week 10'!$A:$A,0))/INDEX($B$66:$M$91,MATCH(A172,$A$66:$A$91,0),10)*100,""),"")</f>
        <v/>
      </c>
      <c r="L172" s="125" t="str">
        <f>IFERROR(IF(AND(INDEX('Week 11'!$F:$F,MATCH(A172,'Week 11'!$A:$A,0))&gt;0,INDEX($B$66:$M$91,MATCH(A172,$A$66:$A$91,0),11)&gt;0),INDEX('Week 11'!$F:$F,MATCH(A172,'Week 11'!$A:$A,0))/INDEX($B$66:$M$91,MATCH(A172,$A$66:$A$91,0),11)*100,""),"")</f>
        <v/>
      </c>
      <c r="M172" s="125" t="str">
        <f>IFERROR(IF(AND(INDEX('Week 12'!$F:$F,MATCH(A172,'Week 12'!$A:$A,0))&gt;0,INDEX($B$66:$M$91,MATCH(A172,$A$66:$A$91,0),12)&gt;0),INDEX('Week 12'!$F:$F,MATCH(A172,'Week 12'!$A:$A,0))/INDEX($B$66:$M$91,MATCH(A172,$A$66:$A$91,0),12)*100,""),"")</f>
        <v/>
      </c>
      <c r="N172" s="125">
        <f t="shared" si="24"/>
        <v>23.65930599369085</v>
      </c>
    </row>
    <row r="173" spans="1:14" x14ac:dyDescent="0.25">
      <c r="A173" t="s">
        <v>36</v>
      </c>
      <c r="B173" s="125">
        <f>IFERROR(IF(AND(INDEX('Week 1'!$F:$F,MATCH(A173,'Week 1'!$A:$A,0))&gt;0,INDEX($B$66:$M$91,MATCH(A173,$A$66:$A$91,0),1)&gt;0),INDEX('Week 1'!$F:$F,MATCH(A173,'Week 1'!$A:$A,0))/INDEX($B$66:$M$91,MATCH(A173,$A$66:$A$91,0),1)*100,""),"")</f>
        <v>736.84210526315792</v>
      </c>
      <c r="C173" s="125" t="str">
        <f>IFERROR(IF(AND(INDEX('Week 2'!$F:$F,MATCH(A173,'Week 2'!$A:$A,0))&gt;0,INDEX($B$66:$M$91,MATCH(A173,$A$66:$A$91,0),2)&gt;0),INDEX('Week 2'!$F:$F,MATCH(A173,'Week 2'!$A:$A,0))/INDEX($B$66:$M$91,MATCH(A173,$A$66:$A$91,0),2)*100,""),"")</f>
        <v/>
      </c>
      <c r="D173" s="125" t="str">
        <f>IFERROR(IF(AND(INDEX('Week 3'!$F:$F,MATCH(A173,'Week 3'!$A:$A,0))&gt;0,INDEX($B$66:$M$91,MATCH(A173,$A$66:$A$91,0),3)&gt;0),INDEX('Week 3'!$F:$F,MATCH(A173,'Week 3'!$A:$A,0))/INDEX($B$66:$M$91,MATCH(A173,$A$66:$A$91,0),3)*100,""),"")</f>
        <v/>
      </c>
      <c r="E173" s="125" t="str">
        <f>IFERROR(IF(AND(INDEX('Week 4'!$F:$F,MATCH(A173,'Week 4'!$A:$A,0))&gt;0,INDEX($B$66:$M$91,MATCH(A173,$A$66:$A$91,0),4)&gt;0),INDEX('Week 4'!$F:$F,MATCH(A173,'Week 4'!$A:$A,0))/INDEX($B$66:$M$91,MATCH(A173,$A$66:$A$91,0),4)*100,""),"")</f>
        <v/>
      </c>
      <c r="F173" s="125" t="str">
        <f>IFERROR(IF(AND(INDEX('Week 5'!$F:$F,MATCH(A173,'Week 5'!$A:$A,0))&gt;0,INDEX($B$66:$M$91,MATCH(A173,$A$66:$A$91,0),5)&gt;0),INDEX('Week 5'!$F:$F,MATCH(A173,'Week 5'!$A:$A,0))/INDEX($B$66:$M$91,MATCH(A173,$A$66:$A$91,0),5)*100,""),"")</f>
        <v/>
      </c>
      <c r="G173" s="125" t="str">
        <f>IFERROR(IF(AND(INDEX('Week 6'!$F:$F,MATCH(A173,'Week 6'!$A:$A,0))&gt;0,INDEX($B$66:$M$91,MATCH(A173,$A$66:$A$91,0),6)&gt;0),INDEX('Week 6'!$F:$F,MATCH(A173,'Week 6'!$A:$A,0))/INDEX($B$66:$M$91,MATCH(A173,$A$66:$A$91,0),6)*100,""),"")</f>
        <v/>
      </c>
      <c r="H173" s="125" t="str">
        <f>IFERROR(IF(AND(INDEX('Week 7'!$F:$F,MATCH(A173,'Week 7'!$A:$A,0))&gt;0,INDEX($B$66:$M$91,MATCH(A173,$A$66:$A$91,0),7)&gt;0),INDEX('Week 7'!$F:$F,MATCH(A173,'Week 7'!$A:$A,0))/INDEX($B$66:$M$91,MATCH(A173,$A$66:$A$91,0),7)*100,""),"")</f>
        <v/>
      </c>
      <c r="I173" s="125" t="str">
        <f>IFERROR(IF(AND(INDEX('Week 8'!$F:$F,MATCH(A173,'Week 8'!$A:$A,0))&gt;0,INDEX($B$66:$M$91,MATCH(A173,$A$66:$A$91,0),8)&gt;0),INDEX('Week 8'!$F:$F,MATCH(A173,'Week 8'!$A:$A,0))/INDEX($B$66:$M$91,MATCH(A173,$A$66:$A$91,0),8)*100,""),"")</f>
        <v/>
      </c>
      <c r="J173" s="125" t="str">
        <f>IFERROR(IF(AND(INDEX('Week 9'!$F:$F,MATCH(A173,'Week 9'!$A:$A,0))&gt;0,INDEX($B$66:$M$91,MATCH(A173,$A$66:$A$91,0),9)&gt;0),INDEX('Week 9'!$F:$F,MATCH(A173,'Week 9'!$A:$A,0))/INDEX($B$66:$M$91,MATCH(A173,$A$66:$A$91,0),9)*100,""),"")</f>
        <v/>
      </c>
      <c r="K173" s="125" t="str">
        <f>IFERROR(IF(AND(INDEX('Week 10'!$F:$F,MATCH(A173,'Week 10'!$A:$A,0))&gt;0,INDEX($B$66:$M$91,MATCH(A173,$A$66:$A$91,0),10)&gt;0),INDEX('Week 10'!$F:$F,MATCH(A173,'Week 10'!$A:$A,0))/INDEX($B$66:$M$91,MATCH(A173,$A$66:$A$91,0),10)*100,""),"")</f>
        <v/>
      </c>
      <c r="L173" s="125" t="str">
        <f>IFERROR(IF(AND(INDEX('Week 11'!$F:$F,MATCH(A173,'Week 11'!$A:$A,0))&gt;0,INDEX($B$66:$M$91,MATCH(A173,$A$66:$A$91,0),11)&gt;0),INDEX('Week 11'!$F:$F,MATCH(A173,'Week 11'!$A:$A,0))/INDEX($B$66:$M$91,MATCH(A173,$A$66:$A$91,0),11)*100,""),"")</f>
        <v/>
      </c>
      <c r="M173" s="125" t="str">
        <f>IFERROR(IF(AND(INDEX('Week 12'!$F:$F,MATCH(A173,'Week 12'!$A:$A,0))&gt;0,INDEX($B$66:$M$91,MATCH(A173,$A$66:$A$91,0),12)&gt;0),INDEX('Week 12'!$F:$F,MATCH(A173,'Week 12'!$A:$A,0))/INDEX($B$66:$M$91,MATCH(A173,$A$66:$A$91,0),12)*100,""),"")</f>
        <v/>
      </c>
      <c r="N173" s="125">
        <f t="shared" si="24"/>
        <v>736.84210526315792</v>
      </c>
    </row>
    <row r="174" spans="1:14" x14ac:dyDescent="0.25">
      <c r="A174" t="s">
        <v>56</v>
      </c>
      <c r="B174" s="125">
        <f>IFERROR(IF(AND(INDEX('Week 1'!$F:$F,MATCH(A174,'Week 1'!$A:$A,0))&gt;0,INDEX($B$66:$M$91,MATCH(A174,$A$66:$A$91,0),1)&gt;0),INDEX('Week 1'!$F:$F,MATCH(A174,'Week 1'!$A:$A,0))/INDEX($B$66:$M$91,MATCH(A174,$A$66:$A$91,0),1)*100,""),"")</f>
        <v>78.917700112739567</v>
      </c>
      <c r="C174" s="125" t="str">
        <f>IFERROR(IF(AND(INDEX('Week 2'!$F:$F,MATCH(A174,'Week 2'!$A:$A,0))&gt;0,INDEX($B$66:$M$91,MATCH(A174,$A$66:$A$91,0),2)&gt;0),INDEX('Week 2'!$F:$F,MATCH(A174,'Week 2'!$A:$A,0))/INDEX($B$66:$M$91,MATCH(A174,$A$66:$A$91,0),2)*100,""),"")</f>
        <v/>
      </c>
      <c r="D174" s="125" t="str">
        <f>IFERROR(IF(AND(INDEX('Week 3'!$F:$F,MATCH(A174,'Week 3'!$A:$A,0))&gt;0,INDEX($B$66:$M$91,MATCH(A174,$A$66:$A$91,0),3)&gt;0),INDEX('Week 3'!$F:$F,MATCH(A174,'Week 3'!$A:$A,0))/INDEX($B$66:$M$91,MATCH(A174,$A$66:$A$91,0),3)*100,""),"")</f>
        <v/>
      </c>
      <c r="E174" s="125" t="str">
        <f>IFERROR(IF(AND(INDEX('Week 4'!$F:$F,MATCH(A174,'Week 4'!$A:$A,0))&gt;0,INDEX($B$66:$M$91,MATCH(A174,$A$66:$A$91,0),4)&gt;0),INDEX('Week 4'!$F:$F,MATCH(A174,'Week 4'!$A:$A,0))/INDEX($B$66:$M$91,MATCH(A174,$A$66:$A$91,0),4)*100,""),"")</f>
        <v/>
      </c>
      <c r="F174" s="125" t="str">
        <f>IFERROR(IF(AND(INDEX('Week 5'!$F:$F,MATCH(A174,'Week 5'!$A:$A,0))&gt;0,INDEX($B$66:$M$91,MATCH(A174,$A$66:$A$91,0),5)&gt;0),INDEX('Week 5'!$F:$F,MATCH(A174,'Week 5'!$A:$A,0))/INDEX($B$66:$M$91,MATCH(A174,$A$66:$A$91,0),5)*100,""),"")</f>
        <v/>
      </c>
      <c r="G174" s="125" t="str">
        <f>IFERROR(IF(AND(INDEX('Week 6'!$F:$F,MATCH(A174,'Week 6'!$A:$A,0))&gt;0,INDEX($B$66:$M$91,MATCH(A174,$A$66:$A$91,0),6)&gt;0),INDEX('Week 6'!$F:$F,MATCH(A174,'Week 6'!$A:$A,0))/INDEX($B$66:$M$91,MATCH(A174,$A$66:$A$91,0),6)*100,""),"")</f>
        <v/>
      </c>
      <c r="H174" s="125" t="str">
        <f>IFERROR(IF(AND(INDEX('Week 7'!$F:$F,MATCH(A174,'Week 7'!$A:$A,0))&gt;0,INDEX($B$66:$M$91,MATCH(A174,$A$66:$A$91,0),7)&gt;0),INDEX('Week 7'!$F:$F,MATCH(A174,'Week 7'!$A:$A,0))/INDEX($B$66:$M$91,MATCH(A174,$A$66:$A$91,0),7)*100,""),"")</f>
        <v/>
      </c>
      <c r="I174" s="125" t="str">
        <f>IFERROR(IF(AND(INDEX('Week 8'!$F:$F,MATCH(A174,'Week 8'!$A:$A,0))&gt;0,INDEX($B$66:$M$91,MATCH(A174,$A$66:$A$91,0),8)&gt;0),INDEX('Week 8'!$F:$F,MATCH(A174,'Week 8'!$A:$A,0))/INDEX($B$66:$M$91,MATCH(A174,$A$66:$A$91,0),8)*100,""),"")</f>
        <v/>
      </c>
      <c r="J174" s="125" t="str">
        <f>IFERROR(IF(AND(INDEX('Week 9'!$F:$F,MATCH(A174,'Week 9'!$A:$A,0))&gt;0,INDEX($B$66:$M$91,MATCH(A174,$A$66:$A$91,0),9)&gt;0),INDEX('Week 9'!$F:$F,MATCH(A174,'Week 9'!$A:$A,0))/INDEX($B$66:$M$91,MATCH(A174,$A$66:$A$91,0),9)*100,""),"")</f>
        <v/>
      </c>
      <c r="K174" s="125" t="str">
        <f>IFERROR(IF(AND(INDEX('Week 10'!$F:$F,MATCH(A174,'Week 10'!$A:$A,0))&gt;0,INDEX($B$66:$M$91,MATCH(A174,$A$66:$A$91,0),10)&gt;0),INDEX('Week 10'!$F:$F,MATCH(A174,'Week 10'!$A:$A,0))/INDEX($B$66:$M$91,MATCH(A174,$A$66:$A$91,0),10)*100,""),"")</f>
        <v/>
      </c>
      <c r="L174" s="125" t="str">
        <f>IFERROR(IF(AND(INDEX('Week 11'!$F:$F,MATCH(A174,'Week 11'!$A:$A,0))&gt;0,INDEX($B$66:$M$91,MATCH(A174,$A$66:$A$91,0),11)&gt;0),INDEX('Week 11'!$F:$F,MATCH(A174,'Week 11'!$A:$A,0))/INDEX($B$66:$M$91,MATCH(A174,$A$66:$A$91,0),11)*100,""),"")</f>
        <v/>
      </c>
      <c r="M174" s="125" t="str">
        <f>IFERROR(IF(AND(INDEX('Week 12'!$F:$F,MATCH(A174,'Week 12'!$A:$A,0))&gt;0,INDEX($B$66:$M$91,MATCH(A174,$A$66:$A$91,0),12)&gt;0),INDEX('Week 12'!$F:$F,MATCH(A174,'Week 12'!$A:$A,0))/INDEX($B$66:$M$91,MATCH(A174,$A$66:$A$91,0),12)*100,""),"")</f>
        <v/>
      </c>
      <c r="N174" s="125">
        <f t="shared" si="24"/>
        <v>78.917700112739567</v>
      </c>
    </row>
    <row r="175" spans="1:14" x14ac:dyDescent="0.25">
      <c r="A175" t="s">
        <v>59</v>
      </c>
      <c r="B175" s="125">
        <f>IFERROR(IF(AND(INDEX('Week 1'!$F:$F,MATCH(A175,'Week 1'!$A:$A,0))&gt;0,INDEX($B$66:$M$91,MATCH(A175,$A$66:$A$91,0),1)&gt;0),INDEX('Week 1'!$F:$F,MATCH(A175,'Week 1'!$A:$A,0))/INDEX($B$66:$M$91,MATCH(A175,$A$66:$A$91,0),1)*100,""),"")</f>
        <v>78.917700112739567</v>
      </c>
      <c r="C175" s="125" t="str">
        <f>IFERROR(IF(AND(INDEX('Week 2'!$F:$F,MATCH(A175,'Week 2'!$A:$A,0))&gt;0,INDEX($B$66:$M$91,MATCH(A175,$A$66:$A$91,0),2)&gt;0),INDEX('Week 2'!$F:$F,MATCH(A175,'Week 2'!$A:$A,0))/INDEX($B$66:$M$91,MATCH(A175,$A$66:$A$91,0),2)*100,""),"")</f>
        <v/>
      </c>
      <c r="D175" s="125" t="str">
        <f>IFERROR(IF(AND(INDEX('Week 3'!$F:$F,MATCH(A175,'Week 3'!$A:$A,0))&gt;0,INDEX($B$66:$M$91,MATCH(A175,$A$66:$A$91,0),3)&gt;0),INDEX('Week 3'!$F:$F,MATCH(A175,'Week 3'!$A:$A,0))/INDEX($B$66:$M$91,MATCH(A175,$A$66:$A$91,0),3)*100,""),"")</f>
        <v/>
      </c>
      <c r="E175" s="125" t="str">
        <f>IFERROR(IF(AND(INDEX('Week 4'!$F:$F,MATCH(A175,'Week 4'!$A:$A,0))&gt;0,INDEX($B$66:$M$91,MATCH(A175,$A$66:$A$91,0),4)&gt;0),INDEX('Week 4'!$F:$F,MATCH(A175,'Week 4'!$A:$A,0))/INDEX($B$66:$M$91,MATCH(A175,$A$66:$A$91,0),4)*100,""),"")</f>
        <v/>
      </c>
      <c r="F175" s="125" t="str">
        <f>IFERROR(IF(AND(INDEX('Week 5'!$F:$F,MATCH(A175,'Week 5'!$A:$A,0))&gt;0,INDEX($B$66:$M$91,MATCH(A175,$A$66:$A$91,0),5)&gt;0),INDEX('Week 5'!$F:$F,MATCH(A175,'Week 5'!$A:$A,0))/INDEX($B$66:$M$91,MATCH(A175,$A$66:$A$91,0),5)*100,""),"")</f>
        <v/>
      </c>
      <c r="G175" s="125" t="str">
        <f>IFERROR(IF(AND(INDEX('Week 6'!$F:$F,MATCH(A175,'Week 6'!$A:$A,0))&gt;0,INDEX($B$66:$M$91,MATCH(A175,$A$66:$A$91,0),6)&gt;0),INDEX('Week 6'!$F:$F,MATCH(A175,'Week 6'!$A:$A,0))/INDEX($B$66:$M$91,MATCH(A175,$A$66:$A$91,0),6)*100,""),"")</f>
        <v/>
      </c>
      <c r="H175" s="125" t="str">
        <f>IFERROR(IF(AND(INDEX('Week 7'!$F:$F,MATCH(A175,'Week 7'!$A:$A,0))&gt;0,INDEX($B$66:$M$91,MATCH(A175,$A$66:$A$91,0),7)&gt;0),INDEX('Week 7'!$F:$F,MATCH(A175,'Week 7'!$A:$A,0))/INDEX($B$66:$M$91,MATCH(A175,$A$66:$A$91,0),7)*100,""),"")</f>
        <v/>
      </c>
      <c r="I175" s="125" t="str">
        <f>IFERROR(IF(AND(INDEX('Week 8'!$F:$F,MATCH(A175,'Week 8'!$A:$A,0))&gt;0,INDEX($B$66:$M$91,MATCH(A175,$A$66:$A$91,0),8)&gt;0),INDEX('Week 8'!$F:$F,MATCH(A175,'Week 8'!$A:$A,0))/INDEX($B$66:$M$91,MATCH(A175,$A$66:$A$91,0),8)*100,""),"")</f>
        <v/>
      </c>
      <c r="J175" s="125" t="str">
        <f>IFERROR(IF(AND(INDEX('Week 9'!$F:$F,MATCH(A175,'Week 9'!$A:$A,0))&gt;0,INDEX($B$66:$M$91,MATCH(A175,$A$66:$A$91,0),9)&gt;0),INDEX('Week 9'!$F:$F,MATCH(A175,'Week 9'!$A:$A,0))/INDEX($B$66:$M$91,MATCH(A175,$A$66:$A$91,0),9)*100,""),"")</f>
        <v/>
      </c>
      <c r="K175" s="125" t="str">
        <f>IFERROR(IF(AND(INDEX('Week 10'!$F:$F,MATCH(A175,'Week 10'!$A:$A,0))&gt;0,INDEX($B$66:$M$91,MATCH(A175,$A$66:$A$91,0),10)&gt;0),INDEX('Week 10'!$F:$F,MATCH(A175,'Week 10'!$A:$A,0))/INDEX($B$66:$M$91,MATCH(A175,$A$66:$A$91,0),10)*100,""),"")</f>
        <v/>
      </c>
      <c r="L175" s="125" t="str">
        <f>IFERROR(IF(AND(INDEX('Week 11'!$F:$F,MATCH(A175,'Week 11'!$A:$A,0))&gt;0,INDEX($B$66:$M$91,MATCH(A175,$A$66:$A$91,0),11)&gt;0),INDEX('Week 11'!$F:$F,MATCH(A175,'Week 11'!$A:$A,0))/INDEX($B$66:$M$91,MATCH(A175,$A$66:$A$91,0),11)*100,""),"")</f>
        <v/>
      </c>
      <c r="M175" s="125" t="str">
        <f>IFERROR(IF(AND(INDEX('Week 12'!$F:$F,MATCH(A175,'Week 12'!$A:$A,0))&gt;0,INDEX($B$66:$M$91,MATCH(A175,$A$66:$A$91,0),12)&gt;0),INDEX('Week 12'!$F:$F,MATCH(A175,'Week 12'!$A:$A,0))/INDEX($B$66:$M$91,MATCH(A175,$A$66:$A$91,0),12)*100,""),"")</f>
        <v/>
      </c>
      <c r="N175" s="125">
        <f t="shared" si="24"/>
        <v>78.917700112739567</v>
      </c>
    </row>
    <row r="176" spans="1:14" x14ac:dyDescent="0.25">
      <c r="A176" t="s">
        <v>64</v>
      </c>
      <c r="B176" s="125">
        <f>IFERROR(IF(AND(INDEX('Week 1'!$F:$F,MATCH(A176,'Week 1'!$A:$A,0))&gt;0,INDEX($B$66:$M$91,MATCH(A176,$A$66:$A$91,0),1)&gt;0),INDEX('Week 1'!$F:$F,MATCH(A176,'Week 1'!$A:$A,0))/INDEX($B$66:$M$91,MATCH(A176,$A$66:$A$91,0),1)*100,""),"")</f>
        <v>74.946466809421835</v>
      </c>
      <c r="C176" s="125" t="str">
        <f>IFERROR(IF(AND(INDEX('Week 2'!$F:$F,MATCH(A176,'Week 2'!$A:$A,0))&gt;0,INDEX($B$66:$M$91,MATCH(A176,$A$66:$A$91,0),2)&gt;0),INDEX('Week 2'!$F:$F,MATCH(A176,'Week 2'!$A:$A,0))/INDEX($B$66:$M$91,MATCH(A176,$A$66:$A$91,0),2)*100,""),"")</f>
        <v/>
      </c>
      <c r="D176" s="125" t="str">
        <f>IFERROR(IF(AND(INDEX('Week 3'!$F:$F,MATCH(A176,'Week 3'!$A:$A,0))&gt;0,INDEX($B$66:$M$91,MATCH(A176,$A$66:$A$91,0),3)&gt;0),INDEX('Week 3'!$F:$F,MATCH(A176,'Week 3'!$A:$A,0))/INDEX($B$66:$M$91,MATCH(A176,$A$66:$A$91,0),3)*100,""),"")</f>
        <v/>
      </c>
      <c r="E176" s="125" t="str">
        <f>IFERROR(IF(AND(INDEX('Week 4'!$F:$F,MATCH(A176,'Week 4'!$A:$A,0))&gt;0,INDEX($B$66:$M$91,MATCH(A176,$A$66:$A$91,0),4)&gt;0),INDEX('Week 4'!$F:$F,MATCH(A176,'Week 4'!$A:$A,0))/INDEX($B$66:$M$91,MATCH(A176,$A$66:$A$91,0),4)*100,""),"")</f>
        <v/>
      </c>
      <c r="F176" s="125" t="str">
        <f>IFERROR(IF(AND(INDEX('Week 5'!$F:$F,MATCH(A176,'Week 5'!$A:$A,0))&gt;0,INDEX($B$66:$M$91,MATCH(A176,$A$66:$A$91,0),5)&gt;0),INDEX('Week 5'!$F:$F,MATCH(A176,'Week 5'!$A:$A,0))/INDEX($B$66:$M$91,MATCH(A176,$A$66:$A$91,0),5)*100,""),"")</f>
        <v/>
      </c>
      <c r="G176" s="125" t="str">
        <f>IFERROR(IF(AND(INDEX('Week 6'!$F:$F,MATCH(A176,'Week 6'!$A:$A,0))&gt;0,INDEX($B$66:$M$91,MATCH(A176,$A$66:$A$91,0),6)&gt;0),INDEX('Week 6'!$F:$F,MATCH(A176,'Week 6'!$A:$A,0))/INDEX($B$66:$M$91,MATCH(A176,$A$66:$A$91,0),6)*100,""),"")</f>
        <v/>
      </c>
      <c r="H176" s="125" t="str">
        <f>IFERROR(IF(AND(INDEX('Week 7'!$F:$F,MATCH(A176,'Week 7'!$A:$A,0))&gt;0,INDEX($B$66:$M$91,MATCH(A176,$A$66:$A$91,0),7)&gt;0),INDEX('Week 7'!$F:$F,MATCH(A176,'Week 7'!$A:$A,0))/INDEX($B$66:$M$91,MATCH(A176,$A$66:$A$91,0),7)*100,""),"")</f>
        <v/>
      </c>
      <c r="I176" s="125" t="str">
        <f>IFERROR(IF(AND(INDEX('Week 8'!$F:$F,MATCH(A176,'Week 8'!$A:$A,0))&gt;0,INDEX($B$66:$M$91,MATCH(A176,$A$66:$A$91,0),8)&gt;0),INDEX('Week 8'!$F:$F,MATCH(A176,'Week 8'!$A:$A,0))/INDEX($B$66:$M$91,MATCH(A176,$A$66:$A$91,0),8)*100,""),"")</f>
        <v/>
      </c>
      <c r="J176" s="125" t="str">
        <f>IFERROR(IF(AND(INDEX('Week 9'!$F:$F,MATCH(A176,'Week 9'!$A:$A,0))&gt;0,INDEX($B$66:$M$91,MATCH(A176,$A$66:$A$91,0),9)&gt;0),INDEX('Week 9'!$F:$F,MATCH(A176,'Week 9'!$A:$A,0))/INDEX($B$66:$M$91,MATCH(A176,$A$66:$A$91,0),9)*100,""),"")</f>
        <v/>
      </c>
      <c r="K176" s="125" t="str">
        <f>IFERROR(IF(AND(INDEX('Week 10'!$F:$F,MATCH(A176,'Week 10'!$A:$A,0))&gt;0,INDEX($B$66:$M$91,MATCH(A176,$A$66:$A$91,0),10)&gt;0),INDEX('Week 10'!$F:$F,MATCH(A176,'Week 10'!$A:$A,0))/INDEX($B$66:$M$91,MATCH(A176,$A$66:$A$91,0),10)*100,""),"")</f>
        <v/>
      </c>
      <c r="L176" s="125" t="str">
        <f>IFERROR(IF(AND(INDEX('Week 11'!$F:$F,MATCH(A176,'Week 11'!$A:$A,0))&gt;0,INDEX($B$66:$M$91,MATCH(A176,$A$66:$A$91,0),11)&gt;0),INDEX('Week 11'!$F:$F,MATCH(A176,'Week 11'!$A:$A,0))/INDEX($B$66:$M$91,MATCH(A176,$A$66:$A$91,0),11)*100,""),"")</f>
        <v/>
      </c>
      <c r="M176" s="125" t="str">
        <f>IFERROR(IF(AND(INDEX('Week 12'!$F:$F,MATCH(A176,'Week 12'!$A:$A,0))&gt;0,INDEX($B$66:$M$91,MATCH(A176,$A$66:$A$91,0),12)&gt;0),INDEX('Week 12'!$F:$F,MATCH(A176,'Week 12'!$A:$A,0))/INDEX($B$66:$M$91,MATCH(A176,$A$66:$A$91,0),12)*100,""),"")</f>
        <v/>
      </c>
      <c r="N176" s="125">
        <f t="shared" si="24"/>
        <v>74.946466809421835</v>
      </c>
    </row>
    <row r="177" spans="1:14" x14ac:dyDescent="0.25">
      <c r="A177" t="s">
        <v>67</v>
      </c>
      <c r="B177" s="125">
        <f>IFERROR(IF(AND(INDEX('Week 1'!$F:$F,MATCH(A177,'Week 1'!$A:$A,0))&gt;0,INDEX($B$66:$M$91,MATCH(A177,$A$66:$A$91,0),1)&gt;0),INDEX('Week 1'!$F:$F,MATCH(A177,'Week 1'!$A:$A,0))/INDEX($B$66:$M$91,MATCH(A177,$A$66:$A$91,0),1)*100,""),"")</f>
        <v>78.94736842105263</v>
      </c>
      <c r="C177" s="125" t="str">
        <f>IFERROR(IF(AND(INDEX('Week 2'!$F:$F,MATCH(A177,'Week 2'!$A:$A,0))&gt;0,INDEX($B$66:$M$91,MATCH(A177,$A$66:$A$91,0),2)&gt;0),INDEX('Week 2'!$F:$F,MATCH(A177,'Week 2'!$A:$A,0))/INDEX($B$66:$M$91,MATCH(A177,$A$66:$A$91,0),2)*100,""),"")</f>
        <v/>
      </c>
      <c r="D177" s="125" t="str">
        <f>IFERROR(IF(AND(INDEX('Week 3'!$F:$F,MATCH(A177,'Week 3'!$A:$A,0))&gt;0,INDEX($B$66:$M$91,MATCH(A177,$A$66:$A$91,0),3)&gt;0),INDEX('Week 3'!$F:$F,MATCH(A177,'Week 3'!$A:$A,0))/INDEX($B$66:$M$91,MATCH(A177,$A$66:$A$91,0),3)*100,""),"")</f>
        <v/>
      </c>
      <c r="E177" s="125" t="str">
        <f>IFERROR(IF(AND(INDEX('Week 4'!$F:$F,MATCH(A177,'Week 4'!$A:$A,0))&gt;0,INDEX($B$66:$M$91,MATCH(A177,$A$66:$A$91,0),4)&gt;0),INDEX('Week 4'!$F:$F,MATCH(A177,'Week 4'!$A:$A,0))/INDEX($B$66:$M$91,MATCH(A177,$A$66:$A$91,0),4)*100,""),"")</f>
        <v/>
      </c>
      <c r="F177" s="125" t="str">
        <f>IFERROR(IF(AND(INDEX('Week 5'!$F:$F,MATCH(A177,'Week 5'!$A:$A,0))&gt;0,INDEX($B$66:$M$91,MATCH(A177,$A$66:$A$91,0),5)&gt;0),INDEX('Week 5'!$F:$F,MATCH(A177,'Week 5'!$A:$A,0))/INDEX($B$66:$M$91,MATCH(A177,$A$66:$A$91,0),5)*100,""),"")</f>
        <v/>
      </c>
      <c r="G177" s="125" t="str">
        <f>IFERROR(IF(AND(INDEX('Week 6'!$F:$F,MATCH(A177,'Week 6'!$A:$A,0))&gt;0,INDEX($B$66:$M$91,MATCH(A177,$A$66:$A$91,0),6)&gt;0),INDEX('Week 6'!$F:$F,MATCH(A177,'Week 6'!$A:$A,0))/INDEX($B$66:$M$91,MATCH(A177,$A$66:$A$91,0),6)*100,""),"")</f>
        <v/>
      </c>
      <c r="H177" s="125" t="str">
        <f>IFERROR(IF(AND(INDEX('Week 7'!$F:$F,MATCH(A177,'Week 7'!$A:$A,0))&gt;0,INDEX($B$66:$M$91,MATCH(A177,$A$66:$A$91,0),7)&gt;0),INDEX('Week 7'!$F:$F,MATCH(A177,'Week 7'!$A:$A,0))/INDEX($B$66:$M$91,MATCH(A177,$A$66:$A$91,0),7)*100,""),"")</f>
        <v/>
      </c>
      <c r="I177" s="125" t="str">
        <f>IFERROR(IF(AND(INDEX('Week 8'!$F:$F,MATCH(A177,'Week 8'!$A:$A,0))&gt;0,INDEX($B$66:$M$91,MATCH(A177,$A$66:$A$91,0),8)&gt;0),INDEX('Week 8'!$F:$F,MATCH(A177,'Week 8'!$A:$A,0))/INDEX($B$66:$M$91,MATCH(A177,$A$66:$A$91,0),8)*100,""),"")</f>
        <v/>
      </c>
      <c r="J177" s="125" t="str">
        <f>IFERROR(IF(AND(INDEX('Week 9'!$F:$F,MATCH(A177,'Week 9'!$A:$A,0))&gt;0,INDEX($B$66:$M$91,MATCH(A177,$A$66:$A$91,0),9)&gt;0),INDEX('Week 9'!$F:$F,MATCH(A177,'Week 9'!$A:$A,0))/INDEX($B$66:$M$91,MATCH(A177,$A$66:$A$91,0),9)*100,""),"")</f>
        <v/>
      </c>
      <c r="K177" s="125" t="str">
        <f>IFERROR(IF(AND(INDEX('Week 10'!$F:$F,MATCH(A177,'Week 10'!$A:$A,0))&gt;0,INDEX($B$66:$M$91,MATCH(A177,$A$66:$A$91,0),10)&gt;0),INDEX('Week 10'!$F:$F,MATCH(A177,'Week 10'!$A:$A,0))/INDEX($B$66:$M$91,MATCH(A177,$A$66:$A$91,0),10)*100,""),"")</f>
        <v/>
      </c>
      <c r="L177" s="125" t="str">
        <f>IFERROR(IF(AND(INDEX('Week 11'!$F:$F,MATCH(A177,'Week 11'!$A:$A,0))&gt;0,INDEX($B$66:$M$91,MATCH(A177,$A$66:$A$91,0),11)&gt;0),INDEX('Week 11'!$F:$F,MATCH(A177,'Week 11'!$A:$A,0))/INDEX($B$66:$M$91,MATCH(A177,$A$66:$A$91,0),11)*100,""),"")</f>
        <v/>
      </c>
      <c r="M177" s="125" t="str">
        <f>IFERROR(IF(AND(INDEX('Week 12'!$F:$F,MATCH(A177,'Week 12'!$A:$A,0))&gt;0,INDEX($B$66:$M$91,MATCH(A177,$A$66:$A$91,0),12)&gt;0),INDEX('Week 12'!$F:$F,MATCH(A177,'Week 12'!$A:$A,0))/INDEX($B$66:$M$91,MATCH(A177,$A$66:$A$91,0),12)*100,""),"")</f>
        <v/>
      </c>
      <c r="N177" s="125">
        <f t="shared" si="24"/>
        <v>78.94736842105263</v>
      </c>
    </row>
    <row r="178" spans="1:14" x14ac:dyDescent="0.25">
      <c r="A178" t="s">
        <v>71</v>
      </c>
      <c r="B178" s="125">
        <f>IFERROR(IF(AND(INDEX('Week 1'!$F:$F,MATCH(A178,'Week 1'!$A:$A,0))&gt;0,INDEX($B$66:$M$91,MATCH(A178,$A$66:$A$91,0),1)&gt;0),INDEX('Week 1'!$F:$F,MATCH(A178,'Week 1'!$A:$A,0))/INDEX($B$66:$M$91,MATCH(A178,$A$66:$A$91,0),1)*100,""),"")</f>
        <v>75.075075075075077</v>
      </c>
      <c r="C178" s="125" t="str">
        <f>IFERROR(IF(AND(INDEX('Week 2'!$F:$F,MATCH(A178,'Week 2'!$A:$A,0))&gt;0,INDEX($B$66:$M$91,MATCH(A178,$A$66:$A$91,0),2)&gt;0),INDEX('Week 2'!$F:$F,MATCH(A178,'Week 2'!$A:$A,0))/INDEX($B$66:$M$91,MATCH(A178,$A$66:$A$91,0),2)*100,""),"")</f>
        <v/>
      </c>
      <c r="D178" s="125" t="str">
        <f>IFERROR(IF(AND(INDEX('Week 3'!$F:$F,MATCH(A178,'Week 3'!$A:$A,0))&gt;0,INDEX($B$66:$M$91,MATCH(A178,$A$66:$A$91,0),3)&gt;0),INDEX('Week 3'!$F:$F,MATCH(A178,'Week 3'!$A:$A,0))/INDEX($B$66:$M$91,MATCH(A178,$A$66:$A$91,0),3)*100,""),"")</f>
        <v/>
      </c>
      <c r="E178" s="125" t="str">
        <f>IFERROR(IF(AND(INDEX('Week 4'!$F:$F,MATCH(A178,'Week 4'!$A:$A,0))&gt;0,INDEX($B$66:$M$91,MATCH(A178,$A$66:$A$91,0),4)&gt;0),INDEX('Week 4'!$F:$F,MATCH(A178,'Week 4'!$A:$A,0))/INDEX($B$66:$M$91,MATCH(A178,$A$66:$A$91,0),4)*100,""),"")</f>
        <v/>
      </c>
      <c r="F178" s="125" t="str">
        <f>IFERROR(IF(AND(INDEX('Week 5'!$F:$F,MATCH(A178,'Week 5'!$A:$A,0))&gt;0,INDEX($B$66:$M$91,MATCH(A178,$A$66:$A$91,0),5)&gt;0),INDEX('Week 5'!$F:$F,MATCH(A178,'Week 5'!$A:$A,0))/INDEX($B$66:$M$91,MATCH(A178,$A$66:$A$91,0),5)*100,""),"")</f>
        <v/>
      </c>
      <c r="G178" s="125" t="str">
        <f>IFERROR(IF(AND(INDEX('Week 6'!$F:$F,MATCH(A178,'Week 6'!$A:$A,0))&gt;0,INDEX($B$66:$M$91,MATCH(A178,$A$66:$A$91,0),6)&gt;0),INDEX('Week 6'!$F:$F,MATCH(A178,'Week 6'!$A:$A,0))/INDEX($B$66:$M$91,MATCH(A178,$A$66:$A$91,0),6)*100,""),"")</f>
        <v/>
      </c>
      <c r="H178" s="125" t="str">
        <f>IFERROR(IF(AND(INDEX('Week 7'!$F:$F,MATCH(A178,'Week 7'!$A:$A,0))&gt;0,INDEX($B$66:$M$91,MATCH(A178,$A$66:$A$91,0),7)&gt;0),INDEX('Week 7'!$F:$F,MATCH(A178,'Week 7'!$A:$A,0))/INDEX($B$66:$M$91,MATCH(A178,$A$66:$A$91,0),7)*100,""),"")</f>
        <v/>
      </c>
      <c r="I178" s="125" t="str">
        <f>IFERROR(IF(AND(INDEX('Week 8'!$F:$F,MATCH(A178,'Week 8'!$A:$A,0))&gt;0,INDEX($B$66:$M$91,MATCH(A178,$A$66:$A$91,0),8)&gt;0),INDEX('Week 8'!$F:$F,MATCH(A178,'Week 8'!$A:$A,0))/INDEX($B$66:$M$91,MATCH(A178,$A$66:$A$91,0),8)*100,""),"")</f>
        <v/>
      </c>
      <c r="J178" s="125" t="str">
        <f>IFERROR(IF(AND(INDEX('Week 9'!$F:$F,MATCH(A178,'Week 9'!$A:$A,0))&gt;0,INDEX($B$66:$M$91,MATCH(A178,$A$66:$A$91,0),9)&gt;0),INDEX('Week 9'!$F:$F,MATCH(A178,'Week 9'!$A:$A,0))/INDEX($B$66:$M$91,MATCH(A178,$A$66:$A$91,0),9)*100,""),"")</f>
        <v/>
      </c>
      <c r="K178" s="125" t="str">
        <f>IFERROR(IF(AND(INDEX('Week 10'!$F:$F,MATCH(A178,'Week 10'!$A:$A,0))&gt;0,INDEX($B$66:$M$91,MATCH(A178,$A$66:$A$91,0),10)&gt;0),INDEX('Week 10'!$F:$F,MATCH(A178,'Week 10'!$A:$A,0))/INDEX($B$66:$M$91,MATCH(A178,$A$66:$A$91,0),10)*100,""),"")</f>
        <v/>
      </c>
      <c r="L178" s="125" t="str">
        <f>IFERROR(IF(AND(INDEX('Week 11'!$F:$F,MATCH(A178,'Week 11'!$A:$A,0))&gt;0,INDEX($B$66:$M$91,MATCH(A178,$A$66:$A$91,0),11)&gt;0),INDEX('Week 11'!$F:$F,MATCH(A178,'Week 11'!$A:$A,0))/INDEX($B$66:$M$91,MATCH(A178,$A$66:$A$91,0),11)*100,""),"")</f>
        <v/>
      </c>
      <c r="M178" s="125" t="str">
        <f>IFERROR(IF(AND(INDEX('Week 12'!$F:$F,MATCH(A178,'Week 12'!$A:$A,0))&gt;0,INDEX($B$66:$M$91,MATCH(A178,$A$66:$A$91,0),12)&gt;0),INDEX('Week 12'!$F:$F,MATCH(A178,'Week 12'!$A:$A,0))/INDEX($B$66:$M$91,MATCH(A178,$A$66:$A$91,0),12)*100,""),"")</f>
        <v/>
      </c>
      <c r="N178" s="125">
        <f t="shared" si="24"/>
        <v>75.075075075075077</v>
      </c>
    </row>
    <row r="179" spans="1:14" x14ac:dyDescent="0.25">
      <c r="A179" t="s">
        <v>48</v>
      </c>
      <c r="B179" s="125">
        <f>IFERROR(IF(AND(INDEX('Week 1'!$F:$F,MATCH(A179,'Week 1'!$A:$A,0))&gt;0,INDEX($B$66:$M$91,MATCH(A179,$A$66:$A$91,0),1)&gt;0),INDEX('Week 1'!$F:$F,MATCH(A179,'Week 1'!$A:$A,0))/INDEX($B$66:$M$91,MATCH(A179,$A$66:$A$91,0),1)*100,""),"")</f>
        <v>85.054678007290406</v>
      </c>
      <c r="C179" s="125" t="str">
        <f>IFERROR(IF(AND(INDEX('Week 2'!$F:$F,MATCH(A179,'Week 2'!$A:$A,0))&gt;0,INDEX($B$66:$M$91,MATCH(A179,$A$66:$A$91,0),2)&gt;0),INDEX('Week 2'!$F:$F,MATCH(A179,'Week 2'!$A:$A,0))/INDEX($B$66:$M$91,MATCH(A179,$A$66:$A$91,0),2)*100,""),"")</f>
        <v/>
      </c>
      <c r="D179" s="125" t="str">
        <f>IFERROR(IF(AND(INDEX('Week 3'!$F:$F,MATCH(A179,'Week 3'!$A:$A,0))&gt;0,INDEX($B$66:$M$91,MATCH(A179,$A$66:$A$91,0),3)&gt;0),INDEX('Week 3'!$F:$F,MATCH(A179,'Week 3'!$A:$A,0))/INDEX($B$66:$M$91,MATCH(A179,$A$66:$A$91,0),3)*100,""),"")</f>
        <v/>
      </c>
      <c r="E179" s="125" t="str">
        <f>IFERROR(IF(AND(INDEX('Week 4'!$F:$F,MATCH(A179,'Week 4'!$A:$A,0))&gt;0,INDEX($B$66:$M$91,MATCH(A179,$A$66:$A$91,0),4)&gt;0),INDEX('Week 4'!$F:$F,MATCH(A179,'Week 4'!$A:$A,0))/INDEX($B$66:$M$91,MATCH(A179,$A$66:$A$91,0),4)*100,""),"")</f>
        <v/>
      </c>
      <c r="F179" s="125" t="str">
        <f>IFERROR(IF(AND(INDEX('Week 5'!$F:$F,MATCH(A179,'Week 5'!$A:$A,0))&gt;0,INDEX($B$66:$M$91,MATCH(A179,$A$66:$A$91,0),5)&gt;0),INDEX('Week 5'!$F:$F,MATCH(A179,'Week 5'!$A:$A,0))/INDEX($B$66:$M$91,MATCH(A179,$A$66:$A$91,0),5)*100,""),"")</f>
        <v/>
      </c>
      <c r="G179" s="125" t="str">
        <f>IFERROR(IF(AND(INDEX('Week 6'!$F:$F,MATCH(A179,'Week 6'!$A:$A,0))&gt;0,INDEX($B$66:$M$91,MATCH(A179,$A$66:$A$91,0),6)&gt;0),INDEX('Week 6'!$F:$F,MATCH(A179,'Week 6'!$A:$A,0))/INDEX($B$66:$M$91,MATCH(A179,$A$66:$A$91,0),6)*100,""),"")</f>
        <v/>
      </c>
      <c r="H179" s="125" t="str">
        <f>IFERROR(IF(AND(INDEX('Week 7'!$F:$F,MATCH(A179,'Week 7'!$A:$A,0))&gt;0,INDEX($B$66:$M$91,MATCH(A179,$A$66:$A$91,0),7)&gt;0),INDEX('Week 7'!$F:$F,MATCH(A179,'Week 7'!$A:$A,0))/INDEX($B$66:$M$91,MATCH(A179,$A$66:$A$91,0),7)*100,""),"")</f>
        <v/>
      </c>
      <c r="I179" s="125" t="str">
        <f>IFERROR(IF(AND(INDEX('Week 8'!$F:$F,MATCH(A179,'Week 8'!$A:$A,0))&gt;0,INDEX($B$66:$M$91,MATCH(A179,$A$66:$A$91,0),8)&gt;0),INDEX('Week 8'!$F:$F,MATCH(A179,'Week 8'!$A:$A,0))/INDEX($B$66:$M$91,MATCH(A179,$A$66:$A$91,0),8)*100,""),"")</f>
        <v/>
      </c>
      <c r="J179" s="125" t="str">
        <f>IFERROR(IF(AND(INDEX('Week 9'!$F:$F,MATCH(A179,'Week 9'!$A:$A,0))&gt;0,INDEX($B$66:$M$91,MATCH(A179,$A$66:$A$91,0),9)&gt;0),INDEX('Week 9'!$F:$F,MATCH(A179,'Week 9'!$A:$A,0))/INDEX($B$66:$M$91,MATCH(A179,$A$66:$A$91,0),9)*100,""),"")</f>
        <v/>
      </c>
      <c r="K179" s="125" t="str">
        <f>IFERROR(IF(AND(INDEX('Week 10'!$F:$F,MATCH(A179,'Week 10'!$A:$A,0))&gt;0,INDEX($B$66:$M$91,MATCH(A179,$A$66:$A$91,0),10)&gt;0),INDEX('Week 10'!$F:$F,MATCH(A179,'Week 10'!$A:$A,0))/INDEX($B$66:$M$91,MATCH(A179,$A$66:$A$91,0),10)*100,""),"")</f>
        <v/>
      </c>
      <c r="L179" s="125" t="str">
        <f>IFERROR(IF(AND(INDEX('Week 11'!$F:$F,MATCH(A179,'Week 11'!$A:$A,0))&gt;0,INDEX($B$66:$M$91,MATCH(A179,$A$66:$A$91,0),11)&gt;0),INDEX('Week 11'!$F:$F,MATCH(A179,'Week 11'!$A:$A,0))/INDEX($B$66:$M$91,MATCH(A179,$A$66:$A$91,0),11)*100,""),"")</f>
        <v/>
      </c>
      <c r="M179" s="125" t="str">
        <f>IFERROR(IF(AND(INDEX('Week 12'!$F:$F,MATCH(A179,'Week 12'!$A:$A,0))&gt;0,INDEX($B$66:$M$91,MATCH(A179,$A$66:$A$91,0),12)&gt;0),INDEX('Week 12'!$F:$F,MATCH(A179,'Week 12'!$A:$A,0))/INDEX($B$66:$M$91,MATCH(A179,$A$66:$A$91,0),12)*100,""),"")</f>
        <v/>
      </c>
      <c r="N179" s="125">
        <f t="shared" si="24"/>
        <v>85.054678007290406</v>
      </c>
    </row>
    <row r="180" spans="1:14" x14ac:dyDescent="0.25">
      <c r="A180" t="s">
        <v>82</v>
      </c>
      <c r="B180" s="125" t="str">
        <f>IFERROR(IF(AND(INDEX('Week 1'!$F:$F,MATCH(A180,'Week 1'!$A:$A,0))&gt;0,INDEX($B$66:$M$91,MATCH(A180,$A$66:$A$91,0),1)&gt;0),INDEX('Week 1'!$F:$F,MATCH(A180,'Week 1'!$A:$A,0))/INDEX($B$66:$M$91,MATCH(A180,$A$66:$A$91,0),1)*100,""),"")</f>
        <v/>
      </c>
      <c r="C180" s="125" t="str">
        <f>IFERROR(IF(AND(INDEX('Week 2'!$F:$F,MATCH(A180,'Week 2'!$A:$A,0))&gt;0,INDEX($B$66:$M$91,MATCH(A180,$A$66:$A$91,0),2)&gt;0),INDEX('Week 2'!$F:$F,MATCH(A180,'Week 2'!$A:$A,0))/INDEX($B$66:$M$91,MATCH(A180,$A$66:$A$91,0),2)*100,""),"")</f>
        <v/>
      </c>
      <c r="D180" s="125" t="str">
        <f>IFERROR(IF(AND(INDEX('Week 3'!$F:$F,MATCH(A180,'Week 3'!$A:$A,0))&gt;0,INDEX($B$66:$M$91,MATCH(A180,$A$66:$A$91,0),3)&gt;0),INDEX('Week 3'!$F:$F,MATCH(A180,'Week 3'!$A:$A,0))/INDEX($B$66:$M$91,MATCH(A180,$A$66:$A$91,0),3)*100,""),"")</f>
        <v/>
      </c>
      <c r="E180" s="125" t="str">
        <f>IFERROR(IF(AND(INDEX('Week 4'!$F:$F,MATCH(A180,'Week 4'!$A:$A,0))&gt;0,INDEX($B$66:$M$91,MATCH(A180,$A$66:$A$91,0),4)&gt;0),INDEX('Week 4'!$F:$F,MATCH(A180,'Week 4'!$A:$A,0))/INDEX($B$66:$M$91,MATCH(A180,$A$66:$A$91,0),4)*100,""),"")</f>
        <v/>
      </c>
      <c r="F180" s="125" t="str">
        <f>IFERROR(IF(AND(INDEX('Week 5'!$F:$F,MATCH(A180,'Week 5'!$A:$A,0))&gt;0,INDEX($B$66:$M$91,MATCH(A180,$A$66:$A$91,0),5)&gt;0),INDEX('Week 5'!$F:$F,MATCH(A180,'Week 5'!$A:$A,0))/INDEX($B$66:$M$91,MATCH(A180,$A$66:$A$91,0),5)*100,""),"")</f>
        <v/>
      </c>
      <c r="G180" s="125" t="str">
        <f>IFERROR(IF(AND(INDEX('Week 6'!$F:$F,MATCH(A180,'Week 6'!$A:$A,0))&gt;0,INDEX($B$66:$M$91,MATCH(A180,$A$66:$A$91,0),6)&gt;0),INDEX('Week 6'!$F:$F,MATCH(A180,'Week 6'!$A:$A,0))/INDEX($B$66:$M$91,MATCH(A180,$A$66:$A$91,0),6)*100,""),"")</f>
        <v/>
      </c>
      <c r="H180" s="125" t="str">
        <f>IFERROR(IF(AND(INDEX('Week 7'!$F:$F,MATCH(A180,'Week 7'!$A:$A,0))&gt;0,INDEX($B$66:$M$91,MATCH(A180,$A$66:$A$91,0),7)&gt;0),INDEX('Week 7'!$F:$F,MATCH(A180,'Week 7'!$A:$A,0))/INDEX($B$66:$M$91,MATCH(A180,$A$66:$A$91,0),7)*100,""),"")</f>
        <v/>
      </c>
      <c r="I180" s="125" t="str">
        <f>IFERROR(IF(AND(INDEX('Week 8'!$F:$F,MATCH(A180,'Week 8'!$A:$A,0))&gt;0,INDEX($B$66:$M$91,MATCH(A180,$A$66:$A$91,0),8)&gt;0),INDEX('Week 8'!$F:$F,MATCH(A180,'Week 8'!$A:$A,0))/INDEX($B$66:$M$91,MATCH(A180,$A$66:$A$91,0),8)*100,""),"")</f>
        <v/>
      </c>
      <c r="J180" s="125" t="str">
        <f>IFERROR(IF(AND(INDEX('Week 9'!$F:$F,MATCH(A180,'Week 9'!$A:$A,0))&gt;0,INDEX($B$66:$M$91,MATCH(A180,$A$66:$A$91,0),9)&gt;0),INDEX('Week 9'!$F:$F,MATCH(A180,'Week 9'!$A:$A,0))/INDEX($B$66:$M$91,MATCH(A180,$A$66:$A$91,0),9)*100,""),"")</f>
        <v/>
      </c>
      <c r="K180" s="125" t="str">
        <f>IFERROR(IF(AND(INDEX('Week 10'!$F:$F,MATCH(A180,'Week 10'!$A:$A,0))&gt;0,INDEX($B$66:$M$91,MATCH(A180,$A$66:$A$91,0),10)&gt;0),INDEX('Week 10'!$F:$F,MATCH(A180,'Week 10'!$A:$A,0))/INDEX($B$66:$M$91,MATCH(A180,$A$66:$A$91,0),10)*100,""),"")</f>
        <v/>
      </c>
      <c r="L180" s="125" t="str">
        <f>IFERROR(IF(AND(INDEX('Week 11'!$F:$F,MATCH(A180,'Week 11'!$A:$A,0))&gt;0,INDEX($B$66:$M$91,MATCH(A180,$A$66:$A$91,0),11)&gt;0),INDEX('Week 11'!$F:$F,MATCH(A180,'Week 11'!$A:$A,0))/INDEX($B$66:$M$91,MATCH(A180,$A$66:$A$91,0),11)*100,""),"")</f>
        <v/>
      </c>
      <c r="M180" s="125" t="str">
        <f>IFERROR(IF(AND(INDEX('Week 12'!$F:$F,MATCH(A180,'Week 12'!$A:$A,0))&gt;0,INDEX($B$66:$M$91,MATCH(A180,$A$66:$A$91,0),12)&gt;0),INDEX('Week 12'!$F:$F,MATCH(A180,'Week 12'!$A:$A,0))/INDEX($B$66:$M$91,MATCH(A180,$A$66:$A$91,0),12)*100,""),"")</f>
        <v/>
      </c>
      <c r="N180" s="125" t="str">
        <f t="shared" si="24"/>
        <v/>
      </c>
    </row>
    <row r="181" spans="1:14" x14ac:dyDescent="0.25">
      <c r="A181" t="s">
        <v>86</v>
      </c>
      <c r="B181" s="125" t="str">
        <f>IFERROR(IF(AND(INDEX('Week 1'!$F:$F,MATCH(A181,'Week 1'!$A:$A,0))&gt;0,INDEX($B$66:$M$91,MATCH(A181,$A$66:$A$91,0),1)&gt;0),INDEX('Week 1'!$F:$F,MATCH(A181,'Week 1'!$A:$A,0))/INDEX($B$66:$M$91,MATCH(A181,$A$66:$A$91,0),1)*100,""),"")</f>
        <v/>
      </c>
      <c r="C181" s="125" t="str">
        <f>IFERROR(IF(AND(INDEX('Week 2'!$F:$F,MATCH(A181,'Week 2'!$A:$A,0))&gt;0,INDEX($B$66:$M$91,MATCH(A181,$A$66:$A$91,0),2)&gt;0),INDEX('Week 2'!$F:$F,MATCH(A181,'Week 2'!$A:$A,0))/INDEX($B$66:$M$91,MATCH(A181,$A$66:$A$91,0),2)*100,""),"")</f>
        <v/>
      </c>
      <c r="D181" s="125" t="str">
        <f>IFERROR(IF(AND(INDEX('Week 3'!$F:$F,MATCH(A181,'Week 3'!$A:$A,0))&gt;0,INDEX($B$66:$M$91,MATCH(A181,$A$66:$A$91,0),3)&gt;0),INDEX('Week 3'!$F:$F,MATCH(A181,'Week 3'!$A:$A,0))/INDEX($B$66:$M$91,MATCH(A181,$A$66:$A$91,0),3)*100,""),"")</f>
        <v/>
      </c>
      <c r="E181" s="125" t="str">
        <f>IFERROR(IF(AND(INDEX('Week 4'!$F:$F,MATCH(A181,'Week 4'!$A:$A,0))&gt;0,INDEX($B$66:$M$91,MATCH(A181,$A$66:$A$91,0),4)&gt;0),INDEX('Week 4'!$F:$F,MATCH(A181,'Week 4'!$A:$A,0))/INDEX($B$66:$M$91,MATCH(A181,$A$66:$A$91,0),4)*100,""),"")</f>
        <v/>
      </c>
      <c r="F181" s="125" t="str">
        <f>IFERROR(IF(AND(INDEX('Week 5'!$F:$F,MATCH(A181,'Week 5'!$A:$A,0))&gt;0,INDEX($B$66:$M$91,MATCH(A181,$A$66:$A$91,0),5)&gt;0),INDEX('Week 5'!$F:$F,MATCH(A181,'Week 5'!$A:$A,0))/INDEX($B$66:$M$91,MATCH(A181,$A$66:$A$91,0),5)*100,""),"")</f>
        <v/>
      </c>
      <c r="G181" s="125" t="str">
        <f>IFERROR(IF(AND(INDEX('Week 6'!$F:$F,MATCH(A181,'Week 6'!$A:$A,0))&gt;0,INDEX($B$66:$M$91,MATCH(A181,$A$66:$A$91,0),6)&gt;0),INDEX('Week 6'!$F:$F,MATCH(A181,'Week 6'!$A:$A,0))/INDEX($B$66:$M$91,MATCH(A181,$A$66:$A$91,0),6)*100,""),"")</f>
        <v/>
      </c>
      <c r="H181" s="125" t="str">
        <f>IFERROR(IF(AND(INDEX('Week 7'!$F:$F,MATCH(A181,'Week 7'!$A:$A,0))&gt;0,INDEX($B$66:$M$91,MATCH(A181,$A$66:$A$91,0),7)&gt;0),INDEX('Week 7'!$F:$F,MATCH(A181,'Week 7'!$A:$A,0))/INDEX($B$66:$M$91,MATCH(A181,$A$66:$A$91,0),7)*100,""),"")</f>
        <v/>
      </c>
      <c r="I181" s="125" t="str">
        <f>IFERROR(IF(AND(INDEX('Week 8'!$F:$F,MATCH(A181,'Week 8'!$A:$A,0))&gt;0,INDEX($B$66:$M$91,MATCH(A181,$A$66:$A$91,0),8)&gt;0),INDEX('Week 8'!$F:$F,MATCH(A181,'Week 8'!$A:$A,0))/INDEX($B$66:$M$91,MATCH(A181,$A$66:$A$91,0),8)*100,""),"")</f>
        <v/>
      </c>
      <c r="J181" s="125" t="str">
        <f>IFERROR(IF(AND(INDEX('Week 9'!$F:$F,MATCH(A181,'Week 9'!$A:$A,0))&gt;0,INDEX($B$66:$M$91,MATCH(A181,$A$66:$A$91,0),9)&gt;0),INDEX('Week 9'!$F:$F,MATCH(A181,'Week 9'!$A:$A,0))/INDEX($B$66:$M$91,MATCH(A181,$A$66:$A$91,0),9)*100,""),"")</f>
        <v/>
      </c>
      <c r="K181" s="125" t="str">
        <f>IFERROR(IF(AND(INDEX('Week 10'!$F:$F,MATCH(A181,'Week 10'!$A:$A,0))&gt;0,INDEX($B$66:$M$91,MATCH(A181,$A$66:$A$91,0),10)&gt;0),INDEX('Week 10'!$F:$F,MATCH(A181,'Week 10'!$A:$A,0))/INDEX($B$66:$M$91,MATCH(A181,$A$66:$A$91,0),10)*100,""),"")</f>
        <v/>
      </c>
      <c r="L181" s="125" t="str">
        <f>IFERROR(IF(AND(INDEX('Week 11'!$F:$F,MATCH(A181,'Week 11'!$A:$A,0))&gt;0,INDEX($B$66:$M$91,MATCH(A181,$A$66:$A$91,0),11)&gt;0),INDEX('Week 11'!$F:$F,MATCH(A181,'Week 11'!$A:$A,0))/INDEX($B$66:$M$91,MATCH(A181,$A$66:$A$91,0),11)*100,""),"")</f>
        <v/>
      </c>
      <c r="M181" s="125" t="str">
        <f>IFERROR(IF(AND(INDEX('Week 12'!$F:$F,MATCH(A181,'Week 12'!$A:$A,0))&gt;0,INDEX($B$66:$M$91,MATCH(A181,$A$66:$A$91,0),12)&gt;0),INDEX('Week 12'!$F:$F,MATCH(A181,'Week 12'!$A:$A,0))/INDEX($B$66:$M$91,MATCH(A181,$A$66:$A$91,0),12)*100,""),"")</f>
        <v/>
      </c>
      <c r="N181" s="125" t="str">
        <f t="shared" si="24"/>
        <v/>
      </c>
    </row>
    <row r="182" spans="1:14" x14ac:dyDescent="0.25">
      <c r="A182" t="s">
        <v>90</v>
      </c>
      <c r="B182" s="125">
        <f>IFERROR(IF(AND(INDEX('Week 1'!$F:$F,MATCH(A182,'Week 1'!$A:$A,0))&gt;0,INDEX($B$66:$M$91,MATCH(A182,$A$66:$A$91,0),1)&gt;0),INDEX('Week 1'!$F:$F,MATCH(A182,'Week 1'!$A:$A,0))/INDEX($B$66:$M$91,MATCH(A182,$A$66:$A$91,0),1)*100,""),"")</f>
        <v>300</v>
      </c>
      <c r="C182" s="125" t="str">
        <f>IFERROR(IF(AND(INDEX('Week 2'!$F:$F,MATCH(A182,'Week 2'!$A:$A,0))&gt;0,INDEX($B$66:$M$91,MATCH(A182,$A$66:$A$91,0),2)&gt;0),INDEX('Week 2'!$F:$F,MATCH(A182,'Week 2'!$A:$A,0))/INDEX($B$66:$M$91,MATCH(A182,$A$66:$A$91,0),2)*100,""),"")</f>
        <v/>
      </c>
      <c r="D182" s="125" t="str">
        <f>IFERROR(IF(AND(INDEX('Week 3'!$F:$F,MATCH(A182,'Week 3'!$A:$A,0))&gt;0,INDEX($B$66:$M$91,MATCH(A182,$A$66:$A$91,0),3)&gt;0),INDEX('Week 3'!$F:$F,MATCH(A182,'Week 3'!$A:$A,0))/INDEX($B$66:$M$91,MATCH(A182,$A$66:$A$91,0),3)*100,""),"")</f>
        <v/>
      </c>
      <c r="E182" s="125" t="str">
        <f>IFERROR(IF(AND(INDEX('Week 4'!$F:$F,MATCH(A182,'Week 4'!$A:$A,0))&gt;0,INDEX($B$66:$M$91,MATCH(A182,$A$66:$A$91,0),4)&gt;0),INDEX('Week 4'!$F:$F,MATCH(A182,'Week 4'!$A:$A,0))/INDEX($B$66:$M$91,MATCH(A182,$A$66:$A$91,0),4)*100,""),"")</f>
        <v/>
      </c>
      <c r="F182" s="125" t="str">
        <f>IFERROR(IF(AND(INDEX('Week 5'!$F:$F,MATCH(A182,'Week 5'!$A:$A,0))&gt;0,INDEX($B$66:$M$91,MATCH(A182,$A$66:$A$91,0),5)&gt;0),INDEX('Week 5'!$F:$F,MATCH(A182,'Week 5'!$A:$A,0))/INDEX($B$66:$M$91,MATCH(A182,$A$66:$A$91,0),5)*100,""),"")</f>
        <v/>
      </c>
      <c r="G182" s="125" t="str">
        <f>IFERROR(IF(AND(INDEX('Week 6'!$F:$F,MATCH(A182,'Week 6'!$A:$A,0))&gt;0,INDEX($B$66:$M$91,MATCH(A182,$A$66:$A$91,0),6)&gt;0),INDEX('Week 6'!$F:$F,MATCH(A182,'Week 6'!$A:$A,0))/INDEX($B$66:$M$91,MATCH(A182,$A$66:$A$91,0),6)*100,""),"")</f>
        <v/>
      </c>
      <c r="H182" s="125" t="str">
        <f>IFERROR(IF(AND(INDEX('Week 7'!$F:$F,MATCH(A182,'Week 7'!$A:$A,0))&gt;0,INDEX($B$66:$M$91,MATCH(A182,$A$66:$A$91,0),7)&gt;0),INDEX('Week 7'!$F:$F,MATCH(A182,'Week 7'!$A:$A,0))/INDEX($B$66:$M$91,MATCH(A182,$A$66:$A$91,0),7)*100,""),"")</f>
        <v/>
      </c>
      <c r="I182" s="125" t="str">
        <f>IFERROR(IF(AND(INDEX('Week 8'!$F:$F,MATCH(A182,'Week 8'!$A:$A,0))&gt;0,INDEX($B$66:$M$91,MATCH(A182,$A$66:$A$91,0),8)&gt;0),INDEX('Week 8'!$F:$F,MATCH(A182,'Week 8'!$A:$A,0))/INDEX($B$66:$M$91,MATCH(A182,$A$66:$A$91,0),8)*100,""),"")</f>
        <v/>
      </c>
      <c r="J182" s="125" t="str">
        <f>IFERROR(IF(AND(INDEX('Week 9'!$F:$F,MATCH(A182,'Week 9'!$A:$A,0))&gt;0,INDEX($B$66:$M$91,MATCH(A182,$A$66:$A$91,0),9)&gt;0),INDEX('Week 9'!$F:$F,MATCH(A182,'Week 9'!$A:$A,0))/INDEX($B$66:$M$91,MATCH(A182,$A$66:$A$91,0),9)*100,""),"")</f>
        <v/>
      </c>
      <c r="K182" s="125" t="str">
        <f>IFERROR(IF(AND(INDEX('Week 10'!$F:$F,MATCH(A182,'Week 10'!$A:$A,0))&gt;0,INDEX($B$66:$M$91,MATCH(A182,$A$66:$A$91,0),10)&gt;0),INDEX('Week 10'!$F:$F,MATCH(A182,'Week 10'!$A:$A,0))/INDEX($B$66:$M$91,MATCH(A182,$A$66:$A$91,0),10)*100,""),"")</f>
        <v/>
      </c>
      <c r="L182" s="125" t="str">
        <f>IFERROR(IF(AND(INDEX('Week 11'!$F:$F,MATCH(A182,'Week 11'!$A:$A,0))&gt;0,INDEX($B$66:$M$91,MATCH(A182,$A$66:$A$91,0),11)&gt;0),INDEX('Week 11'!$F:$F,MATCH(A182,'Week 11'!$A:$A,0))/INDEX($B$66:$M$91,MATCH(A182,$A$66:$A$91,0),11)*100,""),"")</f>
        <v/>
      </c>
      <c r="M182" s="125" t="str">
        <f>IFERROR(IF(AND(INDEX('Week 12'!$F:$F,MATCH(A182,'Week 12'!$A:$A,0))&gt;0,INDEX($B$66:$M$91,MATCH(A182,$A$66:$A$91,0),12)&gt;0),INDEX('Week 12'!$F:$F,MATCH(A182,'Week 12'!$A:$A,0))/INDEX($B$66:$M$91,MATCH(A182,$A$66:$A$91,0),12)*100,""),"")</f>
        <v/>
      </c>
      <c r="N182" s="125">
        <f t="shared" si="24"/>
        <v>300</v>
      </c>
    </row>
    <row r="183" spans="1:14" x14ac:dyDescent="0.25">
      <c r="A183" t="s">
        <v>96</v>
      </c>
      <c r="B183" s="125">
        <f>IFERROR(IF(AND(INDEX('Week 1'!$F:$F,MATCH(A183,'Week 1'!$A:$A,0))&gt;0,INDEX($B$66:$M$91,MATCH(A183,$A$66:$A$91,0),1)&gt;0),INDEX('Week 1'!$F:$F,MATCH(A183,'Week 1'!$A:$A,0))/INDEX($B$66:$M$91,MATCH(A183,$A$66:$A$91,0),1)*100,""),"")</f>
        <v>69.169960474308297</v>
      </c>
      <c r="C183" s="125" t="str">
        <f>IFERROR(IF(AND(INDEX('Week 2'!$F:$F,MATCH(A183,'Week 2'!$A:$A,0))&gt;0,INDEX($B$66:$M$91,MATCH(A183,$A$66:$A$91,0),2)&gt;0),INDEX('Week 2'!$F:$F,MATCH(A183,'Week 2'!$A:$A,0))/INDEX($B$66:$M$91,MATCH(A183,$A$66:$A$91,0),2)*100,""),"")</f>
        <v/>
      </c>
      <c r="D183" s="125" t="str">
        <f>IFERROR(IF(AND(INDEX('Week 3'!$F:$F,MATCH(A183,'Week 3'!$A:$A,0))&gt;0,INDEX($B$66:$M$91,MATCH(A183,$A$66:$A$91,0),3)&gt;0),INDEX('Week 3'!$F:$F,MATCH(A183,'Week 3'!$A:$A,0))/INDEX($B$66:$M$91,MATCH(A183,$A$66:$A$91,0),3)*100,""),"")</f>
        <v/>
      </c>
      <c r="E183" s="125" t="str">
        <f>IFERROR(IF(AND(INDEX('Week 4'!$F:$F,MATCH(A183,'Week 4'!$A:$A,0))&gt;0,INDEX($B$66:$M$91,MATCH(A183,$A$66:$A$91,0),4)&gt;0),INDEX('Week 4'!$F:$F,MATCH(A183,'Week 4'!$A:$A,0))/INDEX($B$66:$M$91,MATCH(A183,$A$66:$A$91,0),4)*100,""),"")</f>
        <v/>
      </c>
      <c r="F183" s="125" t="str">
        <f>IFERROR(IF(AND(INDEX('Week 5'!$F:$F,MATCH(A183,'Week 5'!$A:$A,0))&gt;0,INDEX($B$66:$M$91,MATCH(A183,$A$66:$A$91,0),5)&gt;0),INDEX('Week 5'!$F:$F,MATCH(A183,'Week 5'!$A:$A,0))/INDEX($B$66:$M$91,MATCH(A183,$A$66:$A$91,0),5)*100,""),"")</f>
        <v/>
      </c>
      <c r="G183" s="125" t="str">
        <f>IFERROR(IF(AND(INDEX('Week 6'!$F:$F,MATCH(A183,'Week 6'!$A:$A,0))&gt;0,INDEX($B$66:$M$91,MATCH(A183,$A$66:$A$91,0),6)&gt;0),INDEX('Week 6'!$F:$F,MATCH(A183,'Week 6'!$A:$A,0))/INDEX($B$66:$M$91,MATCH(A183,$A$66:$A$91,0),6)*100,""),"")</f>
        <v/>
      </c>
      <c r="H183" s="125" t="str">
        <f>IFERROR(IF(AND(INDEX('Week 7'!$F:$F,MATCH(A183,'Week 7'!$A:$A,0))&gt;0,INDEX($B$66:$M$91,MATCH(A183,$A$66:$A$91,0),7)&gt;0),INDEX('Week 7'!$F:$F,MATCH(A183,'Week 7'!$A:$A,0))/INDEX($B$66:$M$91,MATCH(A183,$A$66:$A$91,0),7)*100,""),"")</f>
        <v/>
      </c>
      <c r="I183" s="125" t="str">
        <f>IFERROR(IF(AND(INDEX('Week 8'!$F:$F,MATCH(A183,'Week 8'!$A:$A,0))&gt;0,INDEX($B$66:$M$91,MATCH(A183,$A$66:$A$91,0),8)&gt;0),INDEX('Week 8'!$F:$F,MATCH(A183,'Week 8'!$A:$A,0))/INDEX($B$66:$M$91,MATCH(A183,$A$66:$A$91,0),8)*100,""),"")</f>
        <v/>
      </c>
      <c r="J183" s="125" t="str">
        <f>IFERROR(IF(AND(INDEX('Week 9'!$F:$F,MATCH(A183,'Week 9'!$A:$A,0))&gt;0,INDEX($B$66:$M$91,MATCH(A183,$A$66:$A$91,0),9)&gt;0),INDEX('Week 9'!$F:$F,MATCH(A183,'Week 9'!$A:$A,0))/INDEX($B$66:$M$91,MATCH(A183,$A$66:$A$91,0),9)*100,""),"")</f>
        <v/>
      </c>
      <c r="K183" s="125" t="str">
        <f>IFERROR(IF(AND(INDEX('Week 10'!$F:$F,MATCH(A183,'Week 10'!$A:$A,0))&gt;0,INDEX($B$66:$M$91,MATCH(A183,$A$66:$A$91,0),10)&gt;0),INDEX('Week 10'!$F:$F,MATCH(A183,'Week 10'!$A:$A,0))/INDEX($B$66:$M$91,MATCH(A183,$A$66:$A$91,0),10)*100,""),"")</f>
        <v/>
      </c>
      <c r="L183" s="125" t="str">
        <f>IFERROR(IF(AND(INDEX('Week 11'!$F:$F,MATCH(A183,'Week 11'!$A:$A,0))&gt;0,INDEX($B$66:$M$91,MATCH(A183,$A$66:$A$91,0),11)&gt;0),INDEX('Week 11'!$F:$F,MATCH(A183,'Week 11'!$A:$A,0))/INDEX($B$66:$M$91,MATCH(A183,$A$66:$A$91,0),11)*100,""),"")</f>
        <v/>
      </c>
      <c r="M183" s="125" t="str">
        <f>IFERROR(IF(AND(INDEX('Week 12'!$F:$F,MATCH(A183,'Week 12'!$A:$A,0))&gt;0,INDEX($B$66:$M$91,MATCH(A183,$A$66:$A$91,0),12)&gt;0),INDEX('Week 12'!$F:$F,MATCH(A183,'Week 12'!$A:$A,0))/INDEX($B$66:$M$91,MATCH(A183,$A$66:$A$91,0),12)*100,""),"")</f>
        <v/>
      </c>
      <c r="N183" s="125">
        <f t="shared" si="24"/>
        <v>69.169960474308297</v>
      </c>
    </row>
    <row r="184" spans="1:14" x14ac:dyDescent="0.25">
      <c r="A184" t="s">
        <v>252</v>
      </c>
      <c r="B184" s="125" t="str">
        <f>IFERROR(IF(AND(INDEX('Week 1'!$F:$F,MATCH(A184,'Week 1'!$A:$A,0))&gt;0,INDEX($B$66:$M$91,MATCH(A184,$A$66:$A$91,0),1)&gt;0),INDEX('Week 1'!$F:$F,MATCH(A184,'Week 1'!$A:$A,0))/INDEX($B$66:$M$91,MATCH(A184,$A$66:$A$91,0),1)*100,""),"")</f>
        <v/>
      </c>
      <c r="C184" s="125" t="str">
        <f>IFERROR(IF(AND(INDEX('Week 2'!$F:$F,MATCH(A184,'Week 2'!$A:$A,0))&gt;0,INDEX($B$66:$M$91,MATCH(A184,$A$66:$A$91,0),2)&gt;0),INDEX('Week 2'!$F:$F,MATCH(A184,'Week 2'!$A:$A,0))/INDEX($B$66:$M$91,MATCH(A184,$A$66:$A$91,0),2)*100,""),"")</f>
        <v/>
      </c>
      <c r="D184" s="125" t="str">
        <f>IFERROR(IF(AND(INDEX('Week 3'!$F:$F,MATCH(A184,'Week 3'!$A:$A,0))&gt;0,INDEX($B$66:$M$91,MATCH(A184,$A$66:$A$91,0),3)&gt;0),INDEX('Week 3'!$F:$F,MATCH(A184,'Week 3'!$A:$A,0))/INDEX($B$66:$M$91,MATCH(A184,$A$66:$A$91,0),3)*100,""),"")</f>
        <v/>
      </c>
      <c r="E184" s="125" t="str">
        <f>IFERROR(IF(AND(INDEX('Week 4'!$F:$F,MATCH(A184,'Week 4'!$A:$A,0))&gt;0,INDEX($B$66:$M$91,MATCH(A184,$A$66:$A$91,0),4)&gt;0),INDEX('Week 4'!$F:$F,MATCH(A184,'Week 4'!$A:$A,0))/INDEX($B$66:$M$91,MATCH(A184,$A$66:$A$91,0),4)*100,""),"")</f>
        <v/>
      </c>
      <c r="F184" s="125" t="str">
        <f>IFERROR(IF(AND(INDEX('Week 5'!$F:$F,MATCH(A184,'Week 5'!$A:$A,0))&gt;0,INDEX($B$66:$M$91,MATCH(A184,$A$66:$A$91,0),5)&gt;0),INDEX('Week 5'!$F:$F,MATCH(A184,'Week 5'!$A:$A,0))/INDEX($B$66:$M$91,MATCH(A184,$A$66:$A$91,0),5)*100,""),"")</f>
        <v/>
      </c>
      <c r="G184" s="125" t="str">
        <f>IFERROR(IF(AND(INDEX('Week 6'!$F:$F,MATCH(A184,'Week 6'!$A:$A,0))&gt;0,INDEX($B$66:$M$91,MATCH(A184,$A$66:$A$91,0),6)&gt;0),INDEX('Week 6'!$F:$F,MATCH(A184,'Week 6'!$A:$A,0))/INDEX($B$66:$M$91,MATCH(A184,$A$66:$A$91,0),6)*100,""),"")</f>
        <v/>
      </c>
      <c r="H184" s="125" t="str">
        <f>IFERROR(IF(AND(INDEX('Week 7'!$F:$F,MATCH(A184,'Week 7'!$A:$A,0))&gt;0,INDEX($B$66:$M$91,MATCH(A184,$A$66:$A$91,0),7)&gt;0),INDEX('Week 7'!$F:$F,MATCH(A184,'Week 7'!$A:$A,0))/INDEX($B$66:$M$91,MATCH(A184,$A$66:$A$91,0),7)*100,""),"")</f>
        <v/>
      </c>
      <c r="I184" s="125" t="str">
        <f>IFERROR(IF(AND(INDEX('Week 8'!$F:$F,MATCH(A184,'Week 8'!$A:$A,0))&gt;0,INDEX($B$66:$M$91,MATCH(A184,$A$66:$A$91,0),8)&gt;0),INDEX('Week 8'!$F:$F,MATCH(A184,'Week 8'!$A:$A,0))/INDEX($B$66:$M$91,MATCH(A184,$A$66:$A$91,0),8)*100,""),"")</f>
        <v/>
      </c>
      <c r="J184" s="125" t="str">
        <f>IFERROR(IF(AND(INDEX('Week 9'!$F:$F,MATCH(A184,'Week 9'!$A:$A,0))&gt;0,INDEX($B$66:$M$91,MATCH(A184,$A$66:$A$91,0),9)&gt;0),INDEX('Week 9'!$F:$F,MATCH(A184,'Week 9'!$A:$A,0))/INDEX($B$66:$M$91,MATCH(A184,$A$66:$A$91,0),9)*100,""),"")</f>
        <v/>
      </c>
      <c r="K184" s="125" t="str">
        <f>IFERROR(IF(AND(INDEX('Week 10'!$F:$F,MATCH(A184,'Week 10'!$A:$A,0))&gt;0,INDEX($B$66:$M$91,MATCH(A184,$A$66:$A$91,0),10)&gt;0),INDEX('Week 10'!$F:$F,MATCH(A184,'Week 10'!$A:$A,0))/INDEX($B$66:$M$91,MATCH(A184,$A$66:$A$91,0),10)*100,""),"")</f>
        <v/>
      </c>
      <c r="L184" s="125" t="str">
        <f>IFERROR(IF(AND(INDEX('Week 11'!$F:$F,MATCH(A184,'Week 11'!$A:$A,0))&gt;0,INDEX($B$66:$M$91,MATCH(A184,$A$66:$A$91,0),11)&gt;0),INDEX('Week 11'!$F:$F,MATCH(A184,'Week 11'!$A:$A,0))/INDEX($B$66:$M$91,MATCH(A184,$A$66:$A$91,0),11)*100,""),"")</f>
        <v/>
      </c>
      <c r="M184" s="125" t="str">
        <f>IFERROR(IF(AND(INDEX('Week 12'!$F:$F,MATCH(A184,'Week 12'!$A:$A,0))&gt;0,INDEX($B$66:$M$91,MATCH(A184,$A$66:$A$91,0),12)&gt;0),INDEX('Week 12'!$F:$F,MATCH(A184,'Week 12'!$A:$A,0))/INDEX($B$66:$M$91,MATCH(A184,$A$66:$A$91,0),12)*100,""),"")</f>
        <v/>
      </c>
      <c r="N184" s="125" t="str">
        <f t="shared" si="24"/>
        <v/>
      </c>
    </row>
    <row r="185" spans="1:14" ht="13" x14ac:dyDescent="0.3">
      <c r="A185" s="123" t="s">
        <v>282</v>
      </c>
      <c r="B185" s="126">
        <f t="shared" ref="B185:M185" si="25">IFERROR(AVERAGEIFS(B169:B184,B169:B184,"&gt;0",B169:B184,"&lt;=100"),"")</f>
        <v>67.179084801646482</v>
      </c>
      <c r="C185" s="126" t="str">
        <f t="shared" si="25"/>
        <v/>
      </c>
      <c r="D185" s="126" t="str">
        <f t="shared" si="25"/>
        <v/>
      </c>
      <c r="E185" s="126" t="str">
        <f t="shared" si="25"/>
        <v/>
      </c>
      <c r="F185" s="126" t="str">
        <f t="shared" si="25"/>
        <v/>
      </c>
      <c r="G185" s="126" t="str">
        <f t="shared" si="25"/>
        <v/>
      </c>
      <c r="H185" s="126" t="str">
        <f t="shared" si="25"/>
        <v/>
      </c>
      <c r="I185" s="126" t="str">
        <f t="shared" si="25"/>
        <v/>
      </c>
      <c r="J185" s="126" t="str">
        <f t="shared" si="25"/>
        <v/>
      </c>
      <c r="K185" s="126" t="str">
        <f t="shared" si="25"/>
        <v/>
      </c>
      <c r="L185" s="126" t="str">
        <f t="shared" si="25"/>
        <v/>
      </c>
      <c r="M185" s="126" t="str">
        <f t="shared" si="25"/>
        <v/>
      </c>
      <c r="N185" s="126">
        <f t="shared" si="24"/>
        <v>67.179084801646482</v>
      </c>
    </row>
    <row r="187" spans="1:14" ht="13" x14ac:dyDescent="0.3">
      <c r="A187" s="95" t="s">
        <v>283</v>
      </c>
    </row>
    <row r="189" spans="1:14" ht="13" x14ac:dyDescent="0.3">
      <c r="A189" s="124" t="s">
        <v>284</v>
      </c>
    </row>
  </sheetData>
  <mergeCells count="23">
    <mergeCell ref="A136:N136"/>
    <mergeCell ref="A147:N147"/>
    <mergeCell ref="A148:N148"/>
    <mergeCell ref="A63:N63"/>
    <mergeCell ref="A135:N135"/>
    <mergeCell ref="A60:M60"/>
    <mergeCell ref="A23:M23"/>
    <mergeCell ref="A24:M24"/>
    <mergeCell ref="A32:M32"/>
    <mergeCell ref="A34:M34"/>
    <mergeCell ref="A35:M35"/>
    <mergeCell ref="A43:M43"/>
    <mergeCell ref="A45:M45"/>
    <mergeCell ref="A46:M46"/>
    <mergeCell ref="A50:M50"/>
    <mergeCell ref="A52:M52"/>
    <mergeCell ref="A53:M53"/>
    <mergeCell ref="A21:M21"/>
    <mergeCell ref="A1:M1"/>
    <mergeCell ref="A2:M2"/>
    <mergeCell ref="A4:D4"/>
    <mergeCell ref="A8:M8"/>
    <mergeCell ref="A9:M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07371-BD40-4305-BDCC-71095291141A}">
  <dimension ref="A1:B73"/>
  <sheetViews>
    <sheetView workbookViewId="0"/>
  </sheetViews>
  <sheetFormatPr defaultRowHeight="12.5" x14ac:dyDescent="0.25"/>
  <sheetData>
    <row r="1" spans="1:2" x14ac:dyDescent="0.25">
      <c r="A1">
        <v>1</v>
      </c>
      <c r="B1" t="s">
        <v>41</v>
      </c>
    </row>
    <row r="2" spans="1:2" x14ac:dyDescent="0.25">
      <c r="A2">
        <v>2</v>
      </c>
      <c r="B2" t="s">
        <v>42</v>
      </c>
    </row>
    <row r="3" spans="1:2" x14ac:dyDescent="0.25">
      <c r="A3">
        <v>3</v>
      </c>
      <c r="B3" t="s">
        <v>43</v>
      </c>
    </row>
    <row r="4" spans="1:2" x14ac:dyDescent="0.25">
      <c r="B4" t="s">
        <v>45</v>
      </c>
    </row>
    <row r="5" spans="1:2" x14ac:dyDescent="0.25">
      <c r="B5" t="s">
        <v>145</v>
      </c>
    </row>
    <row r="6" spans="1:2" x14ac:dyDescent="0.25">
      <c r="B6" t="s">
        <v>146</v>
      </c>
    </row>
    <row r="7" spans="1:2" x14ac:dyDescent="0.25">
      <c r="B7" t="s">
        <v>147</v>
      </c>
    </row>
    <row r="8" spans="1:2" x14ac:dyDescent="0.25">
      <c r="B8" t="s">
        <v>148</v>
      </c>
    </row>
    <row r="9" spans="1:2" x14ac:dyDescent="0.25">
      <c r="B9" t="s">
        <v>149</v>
      </c>
    </row>
    <row r="10" spans="1:2" x14ac:dyDescent="0.25">
      <c r="B10" t="s">
        <v>91</v>
      </c>
    </row>
    <row r="11" spans="1:2" x14ac:dyDescent="0.25">
      <c r="B11" t="s">
        <v>24</v>
      </c>
    </row>
    <row r="12" spans="1:2" x14ac:dyDescent="0.25">
      <c r="B12" t="s">
        <v>27</v>
      </c>
    </row>
    <row r="13" spans="1:2" x14ac:dyDescent="0.25">
      <c r="B13" t="s">
        <v>28</v>
      </c>
    </row>
    <row r="14" spans="1:2" x14ac:dyDescent="0.25">
      <c r="B14" t="s">
        <v>31</v>
      </c>
    </row>
    <row r="15" spans="1:2" x14ac:dyDescent="0.25">
      <c r="B15" t="s">
        <v>33</v>
      </c>
    </row>
    <row r="16" spans="1:2" x14ac:dyDescent="0.25">
      <c r="B16" t="s">
        <v>34</v>
      </c>
    </row>
    <row r="17" spans="2:2" x14ac:dyDescent="0.25">
      <c r="B17" t="s">
        <v>36</v>
      </c>
    </row>
    <row r="18" spans="2:2" x14ac:dyDescent="0.25">
      <c r="B18" t="s">
        <v>38</v>
      </c>
    </row>
    <row r="19" spans="2:2" x14ac:dyDescent="0.25">
      <c r="B19" t="s">
        <v>39</v>
      </c>
    </row>
    <row r="20" spans="2:2" x14ac:dyDescent="0.25">
      <c r="B20" t="s">
        <v>52</v>
      </c>
    </row>
    <row r="21" spans="2:2" x14ac:dyDescent="0.25">
      <c r="B21" t="s">
        <v>53</v>
      </c>
    </row>
    <row r="22" spans="2:2" x14ac:dyDescent="0.25">
      <c r="B22" t="s">
        <v>54</v>
      </c>
    </row>
    <row r="23" spans="2:2" x14ac:dyDescent="0.25">
      <c r="B23" t="s">
        <v>56</v>
      </c>
    </row>
    <row r="24" spans="2:2" x14ac:dyDescent="0.25">
      <c r="B24" t="s">
        <v>57</v>
      </c>
    </row>
    <row r="25" spans="2:2" x14ac:dyDescent="0.25">
      <c r="B25" t="s">
        <v>59</v>
      </c>
    </row>
    <row r="26" spans="2:2" x14ac:dyDescent="0.25">
      <c r="B26" t="s">
        <v>60</v>
      </c>
    </row>
    <row r="27" spans="2:2" x14ac:dyDescent="0.25">
      <c r="B27" t="s">
        <v>61</v>
      </c>
    </row>
    <row r="28" spans="2:2" x14ac:dyDescent="0.25">
      <c r="B28" t="s">
        <v>63</v>
      </c>
    </row>
    <row r="29" spans="2:2" x14ac:dyDescent="0.25">
      <c r="B29" t="s">
        <v>64</v>
      </c>
    </row>
    <row r="30" spans="2:2" x14ac:dyDescent="0.25">
      <c r="B30" t="s">
        <v>65</v>
      </c>
    </row>
    <row r="31" spans="2:2" x14ac:dyDescent="0.25">
      <c r="B31" t="s">
        <v>67</v>
      </c>
    </row>
    <row r="32" spans="2:2" x14ac:dyDescent="0.25">
      <c r="B32" t="s">
        <v>68</v>
      </c>
    </row>
    <row r="33" spans="2:2" x14ac:dyDescent="0.25">
      <c r="B33" t="s">
        <v>69</v>
      </c>
    </row>
    <row r="34" spans="2:2" x14ac:dyDescent="0.25">
      <c r="B34" t="s">
        <v>71</v>
      </c>
    </row>
    <row r="35" spans="2:2" x14ac:dyDescent="0.25">
      <c r="B35" t="s">
        <v>72</v>
      </c>
    </row>
    <row r="36" spans="2:2" x14ac:dyDescent="0.25">
      <c r="B36" t="s">
        <v>74</v>
      </c>
    </row>
    <row r="37" spans="2:2" x14ac:dyDescent="0.25">
      <c r="B37" t="s">
        <v>75</v>
      </c>
    </row>
    <row r="38" spans="2:2" x14ac:dyDescent="0.25">
      <c r="B38" t="s">
        <v>76</v>
      </c>
    </row>
    <row r="39" spans="2:2" x14ac:dyDescent="0.25">
      <c r="B39" t="s">
        <v>78</v>
      </c>
    </row>
    <row r="40" spans="2:2" x14ac:dyDescent="0.25">
      <c r="B40" t="s">
        <v>79</v>
      </c>
    </row>
    <row r="41" spans="2:2" x14ac:dyDescent="0.25">
      <c r="B41" t="s">
        <v>80</v>
      </c>
    </row>
    <row r="42" spans="2:2" x14ac:dyDescent="0.25">
      <c r="B42" t="s">
        <v>48</v>
      </c>
    </row>
    <row r="43" spans="2:2" x14ac:dyDescent="0.25">
      <c r="B43" t="s">
        <v>49</v>
      </c>
    </row>
    <row r="44" spans="2:2" x14ac:dyDescent="0.25">
      <c r="B44" t="s">
        <v>50</v>
      </c>
    </row>
    <row r="45" spans="2:2" x14ac:dyDescent="0.25">
      <c r="B45" t="s">
        <v>82</v>
      </c>
    </row>
    <row r="46" spans="2:2" x14ac:dyDescent="0.25">
      <c r="B46" t="s">
        <v>83</v>
      </c>
    </row>
    <row r="47" spans="2:2" x14ac:dyDescent="0.25">
      <c r="B47" t="s">
        <v>84</v>
      </c>
    </row>
    <row r="48" spans="2:2" x14ac:dyDescent="0.25">
      <c r="B48" t="s">
        <v>86</v>
      </c>
    </row>
    <row r="49" spans="2:2" x14ac:dyDescent="0.25">
      <c r="B49" t="s">
        <v>87</v>
      </c>
    </row>
    <row r="50" spans="2:2" x14ac:dyDescent="0.25">
      <c r="B50" t="s">
        <v>88</v>
      </c>
    </row>
    <row r="51" spans="2:2" x14ac:dyDescent="0.25">
      <c r="B51" t="s">
        <v>90</v>
      </c>
    </row>
    <row r="52" spans="2:2" x14ac:dyDescent="0.25">
      <c r="B52" t="s">
        <v>92</v>
      </c>
    </row>
    <row r="53" spans="2:2" x14ac:dyDescent="0.25">
      <c r="B53" t="s">
        <v>95</v>
      </c>
    </row>
    <row r="54" spans="2:2" x14ac:dyDescent="0.25">
      <c r="B54" t="s">
        <v>96</v>
      </c>
    </row>
    <row r="55" spans="2:2" x14ac:dyDescent="0.25">
      <c r="B55" t="s">
        <v>97</v>
      </c>
    </row>
    <row r="56" spans="2:2" x14ac:dyDescent="0.25">
      <c r="B56" t="s">
        <v>99</v>
      </c>
    </row>
    <row r="57" spans="2:2" x14ac:dyDescent="0.25">
      <c r="B57" t="s">
        <v>100</v>
      </c>
    </row>
    <row r="58" spans="2:2" x14ac:dyDescent="0.25">
      <c r="B58" t="s">
        <v>101</v>
      </c>
    </row>
    <row r="59" spans="2:2" x14ac:dyDescent="0.25">
      <c r="B59" t="s">
        <v>103</v>
      </c>
    </row>
    <row r="60" spans="2:2" x14ac:dyDescent="0.25">
      <c r="B60" t="s">
        <v>104</v>
      </c>
    </row>
    <row r="61" spans="2:2" x14ac:dyDescent="0.25">
      <c r="B61" t="s">
        <v>105</v>
      </c>
    </row>
    <row r="62" spans="2:2" x14ac:dyDescent="0.25">
      <c r="B62" t="s">
        <v>107</v>
      </c>
    </row>
    <row r="63" spans="2:2" x14ac:dyDescent="0.25">
      <c r="B63" t="s">
        <v>108</v>
      </c>
    </row>
    <row r="64" spans="2:2" x14ac:dyDescent="0.25">
      <c r="B64" t="s">
        <v>109</v>
      </c>
    </row>
    <row r="65" spans="2:2" x14ac:dyDescent="0.25">
      <c r="B65" t="s">
        <v>111</v>
      </c>
    </row>
    <row r="66" spans="2:2" x14ac:dyDescent="0.25">
      <c r="B66" t="s">
        <v>112</v>
      </c>
    </row>
    <row r="67" spans="2:2" x14ac:dyDescent="0.25">
      <c r="B67" t="s">
        <v>114</v>
      </c>
    </row>
    <row r="68" spans="2:2" x14ac:dyDescent="0.25">
      <c r="B68" t="s">
        <v>115</v>
      </c>
    </row>
    <row r="69" spans="2:2" x14ac:dyDescent="0.25">
      <c r="B69" t="s">
        <v>116</v>
      </c>
    </row>
    <row r="70" spans="2:2" x14ac:dyDescent="0.25">
      <c r="B70" t="s">
        <v>117</v>
      </c>
    </row>
    <row r="71" spans="2:2" x14ac:dyDescent="0.25">
      <c r="B71" t="s">
        <v>118</v>
      </c>
    </row>
    <row r="72" spans="2:2" x14ac:dyDescent="0.25">
      <c r="B72" t="s">
        <v>34</v>
      </c>
    </row>
    <row r="73" spans="2:2" x14ac:dyDescent="0.25">
      <c r="B73" t="s">
        <v>121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0A697-5FA9-47AD-A7AF-7D2DEE8C86DA}">
  <dimension ref="A1:G39"/>
  <sheetViews>
    <sheetView workbookViewId="0">
      <selection activeCell="H25" sqref="H25"/>
    </sheetView>
  </sheetViews>
  <sheetFormatPr defaultRowHeight="12.5" x14ac:dyDescent="0.25"/>
  <cols>
    <col min="1" max="1" width="40" customWidth="1"/>
    <col min="2" max="3" width="18.1796875" customWidth="1"/>
    <col min="4" max="4" width="20" customWidth="1"/>
    <col min="5" max="5" width="18.1796875" customWidth="1"/>
    <col min="6" max="6" width="20" customWidth="1"/>
    <col min="7" max="7" width="18.1796875" customWidth="1"/>
  </cols>
  <sheetData>
    <row r="1" spans="1:7" ht="18" x14ac:dyDescent="0.4">
      <c r="A1" s="92" t="s">
        <v>150</v>
      </c>
    </row>
    <row r="3" spans="1:7" ht="13" x14ac:dyDescent="0.3">
      <c r="A3" s="93" t="s">
        <v>7</v>
      </c>
      <c r="B3" s="93" t="s">
        <v>151</v>
      </c>
      <c r="C3" s="93" t="s">
        <v>152</v>
      </c>
      <c r="D3" s="93" t="s">
        <v>153</v>
      </c>
      <c r="E3" s="93" t="s">
        <v>10</v>
      </c>
      <c r="F3" s="93" t="s">
        <v>154</v>
      </c>
      <c r="G3" s="93" t="s">
        <v>155</v>
      </c>
    </row>
    <row r="4" spans="1:7" ht="13" x14ac:dyDescent="0.3">
      <c r="A4" s="94" t="s">
        <v>140</v>
      </c>
      <c r="B4" s="94"/>
      <c r="C4" s="94"/>
      <c r="D4" s="94"/>
      <c r="E4" s="94"/>
      <c r="F4" s="94"/>
      <c r="G4" s="94"/>
    </row>
    <row r="5" spans="1:7" x14ac:dyDescent="0.25">
      <c r="A5" t="s">
        <v>41</v>
      </c>
      <c r="B5">
        <v>2</v>
      </c>
      <c r="C5">
        <v>10</v>
      </c>
      <c r="D5">
        <v>50</v>
      </c>
      <c r="E5">
        <v>2</v>
      </c>
      <c r="F5">
        <v>70</v>
      </c>
      <c r="G5">
        <v>8</v>
      </c>
    </row>
    <row r="6" spans="1:7" x14ac:dyDescent="0.25">
      <c r="A6" t="s">
        <v>148</v>
      </c>
      <c r="B6">
        <v>2</v>
      </c>
      <c r="C6">
        <v>10</v>
      </c>
      <c r="D6">
        <v>45</v>
      </c>
      <c r="E6">
        <v>2</v>
      </c>
      <c r="F6">
        <v>70</v>
      </c>
      <c r="G6">
        <v>8</v>
      </c>
    </row>
    <row r="7" spans="1:7" x14ac:dyDescent="0.25">
      <c r="A7" t="s">
        <v>28</v>
      </c>
      <c r="B7">
        <v>2</v>
      </c>
      <c r="C7">
        <v>8</v>
      </c>
      <c r="D7">
        <v>20</v>
      </c>
      <c r="E7">
        <v>2</v>
      </c>
      <c r="F7">
        <v>25</v>
      </c>
      <c r="G7">
        <v>8</v>
      </c>
    </row>
    <row r="8" spans="1:7" x14ac:dyDescent="0.25">
      <c r="A8" t="s">
        <v>31</v>
      </c>
      <c r="B8">
        <v>2</v>
      </c>
      <c r="C8">
        <v>8</v>
      </c>
      <c r="D8">
        <v>5</v>
      </c>
      <c r="E8">
        <v>2</v>
      </c>
      <c r="F8">
        <v>7.5</v>
      </c>
      <c r="G8">
        <v>8</v>
      </c>
    </row>
    <row r="9" spans="1:7" x14ac:dyDescent="0.25">
      <c r="A9" t="s">
        <v>36</v>
      </c>
      <c r="B9">
        <v>1</v>
      </c>
      <c r="C9">
        <v>10</v>
      </c>
      <c r="D9">
        <v>60</v>
      </c>
      <c r="E9">
        <v>2</v>
      </c>
      <c r="F9">
        <v>70</v>
      </c>
      <c r="G9">
        <v>8</v>
      </c>
    </row>
    <row r="10" spans="1:7" x14ac:dyDescent="0.25">
      <c r="A10" t="s">
        <v>52</v>
      </c>
    </row>
    <row r="12" spans="1:7" ht="13" x14ac:dyDescent="0.3">
      <c r="A12" s="94" t="s">
        <v>142</v>
      </c>
      <c r="B12" s="94"/>
      <c r="C12" s="94"/>
      <c r="D12" s="94"/>
      <c r="E12" s="94"/>
      <c r="F12" s="94"/>
      <c r="G12" s="94"/>
    </row>
    <row r="13" spans="1:7" x14ac:dyDescent="0.25">
      <c r="A13" t="s">
        <v>56</v>
      </c>
      <c r="B13">
        <v>2</v>
      </c>
      <c r="C13">
        <v>10</v>
      </c>
      <c r="D13">
        <v>50</v>
      </c>
      <c r="E13">
        <v>2</v>
      </c>
      <c r="F13">
        <v>70</v>
      </c>
      <c r="G13">
        <v>8</v>
      </c>
    </row>
    <row r="14" spans="1:7" x14ac:dyDescent="0.25">
      <c r="A14" t="s">
        <v>59</v>
      </c>
      <c r="B14">
        <v>1</v>
      </c>
      <c r="C14">
        <v>10</v>
      </c>
      <c r="D14">
        <v>45</v>
      </c>
      <c r="E14">
        <v>2</v>
      </c>
      <c r="F14">
        <v>70</v>
      </c>
      <c r="G14">
        <v>8</v>
      </c>
    </row>
    <row r="15" spans="1:7" x14ac:dyDescent="0.25">
      <c r="A15" t="s">
        <v>64</v>
      </c>
      <c r="E15">
        <v>3</v>
      </c>
      <c r="F15">
        <v>35</v>
      </c>
      <c r="G15">
        <v>10</v>
      </c>
    </row>
    <row r="16" spans="1:7" x14ac:dyDescent="0.25">
      <c r="A16" t="s">
        <v>67</v>
      </c>
      <c r="B16">
        <v>1</v>
      </c>
      <c r="C16">
        <v>10</v>
      </c>
      <c r="D16">
        <v>50</v>
      </c>
      <c r="E16">
        <v>3</v>
      </c>
      <c r="F16">
        <v>60</v>
      </c>
      <c r="G16">
        <v>8</v>
      </c>
    </row>
    <row r="17" spans="1:7" x14ac:dyDescent="0.25">
      <c r="A17" t="s">
        <v>71</v>
      </c>
      <c r="B17">
        <v>1</v>
      </c>
      <c r="C17">
        <v>10</v>
      </c>
      <c r="D17">
        <v>20</v>
      </c>
      <c r="E17">
        <v>2</v>
      </c>
      <c r="F17">
        <v>25</v>
      </c>
      <c r="G17">
        <v>10</v>
      </c>
    </row>
    <row r="18" spans="1:7" x14ac:dyDescent="0.25">
      <c r="A18" t="s">
        <v>74</v>
      </c>
    </row>
    <row r="19" spans="1:7" x14ac:dyDescent="0.25">
      <c r="A19" t="s">
        <v>80</v>
      </c>
      <c r="E19">
        <v>2</v>
      </c>
      <c r="G19">
        <v>8</v>
      </c>
    </row>
    <row r="21" spans="1:7" ht="13" x14ac:dyDescent="0.3">
      <c r="A21" s="94" t="s">
        <v>143</v>
      </c>
      <c r="B21" s="94"/>
      <c r="C21" s="94"/>
      <c r="D21" s="94"/>
      <c r="E21" s="94"/>
      <c r="F21" s="94"/>
      <c r="G21" s="94"/>
    </row>
    <row r="22" spans="1:7" x14ac:dyDescent="0.25">
      <c r="A22" t="s">
        <v>48</v>
      </c>
      <c r="B22">
        <v>2</v>
      </c>
      <c r="C22">
        <v>10</v>
      </c>
      <c r="D22">
        <v>50</v>
      </c>
      <c r="E22">
        <v>2</v>
      </c>
      <c r="F22">
        <v>70</v>
      </c>
      <c r="G22">
        <v>10</v>
      </c>
    </row>
    <row r="23" spans="1:7" x14ac:dyDescent="0.25">
      <c r="A23" t="s">
        <v>82</v>
      </c>
      <c r="B23">
        <v>2</v>
      </c>
      <c r="C23">
        <v>8</v>
      </c>
      <c r="D23">
        <v>45</v>
      </c>
      <c r="E23">
        <v>2</v>
      </c>
      <c r="F23">
        <v>65</v>
      </c>
      <c r="G23">
        <v>8</v>
      </c>
    </row>
    <row r="24" spans="1:7" x14ac:dyDescent="0.25">
      <c r="A24" t="s">
        <v>86</v>
      </c>
    </row>
    <row r="25" spans="1:7" x14ac:dyDescent="0.25">
      <c r="A25" t="s">
        <v>90</v>
      </c>
      <c r="B25">
        <v>2</v>
      </c>
      <c r="C25">
        <v>10</v>
      </c>
      <c r="D25">
        <v>90</v>
      </c>
      <c r="E25">
        <v>2</v>
      </c>
      <c r="F25">
        <v>180</v>
      </c>
      <c r="G25">
        <v>8</v>
      </c>
    </row>
    <row r="26" spans="1:7" x14ac:dyDescent="0.25">
      <c r="A26" t="s">
        <v>52</v>
      </c>
      <c r="E26">
        <v>3</v>
      </c>
      <c r="F26">
        <v>45</v>
      </c>
      <c r="G26">
        <v>10</v>
      </c>
    </row>
    <row r="28" spans="1:7" ht="13" x14ac:dyDescent="0.3">
      <c r="A28" s="94" t="s">
        <v>94</v>
      </c>
      <c r="B28" s="94"/>
      <c r="C28" s="94"/>
      <c r="D28" s="94"/>
      <c r="E28" s="94"/>
      <c r="F28" s="94"/>
      <c r="G28" s="94"/>
    </row>
    <row r="29" spans="1:7" x14ac:dyDescent="0.25">
      <c r="A29" t="s">
        <v>96</v>
      </c>
      <c r="B29">
        <v>1</v>
      </c>
      <c r="C29">
        <v>10</v>
      </c>
      <c r="D29">
        <v>15</v>
      </c>
      <c r="E29">
        <v>2</v>
      </c>
      <c r="F29">
        <v>17.5</v>
      </c>
      <c r="G29">
        <v>10</v>
      </c>
    </row>
    <row r="30" spans="1:7" x14ac:dyDescent="0.25">
      <c r="A30" t="s">
        <v>99</v>
      </c>
      <c r="B30">
        <v>1</v>
      </c>
      <c r="C30">
        <v>10</v>
      </c>
      <c r="D30">
        <v>40</v>
      </c>
      <c r="E30">
        <v>2</v>
      </c>
      <c r="F30">
        <v>55</v>
      </c>
      <c r="G30">
        <v>10</v>
      </c>
    </row>
    <row r="31" spans="1:7" x14ac:dyDescent="0.25">
      <c r="A31" t="s">
        <v>103</v>
      </c>
      <c r="B31">
        <v>1</v>
      </c>
      <c r="C31">
        <v>10</v>
      </c>
      <c r="D31">
        <v>17.5</v>
      </c>
      <c r="E31">
        <v>2</v>
      </c>
      <c r="F31">
        <v>20</v>
      </c>
      <c r="G31">
        <v>8</v>
      </c>
    </row>
    <row r="32" spans="1:7" x14ac:dyDescent="0.25">
      <c r="A32" t="s">
        <v>107</v>
      </c>
      <c r="B32">
        <v>1</v>
      </c>
      <c r="C32">
        <v>10</v>
      </c>
      <c r="D32">
        <v>20</v>
      </c>
      <c r="E32">
        <v>2</v>
      </c>
      <c r="F32">
        <v>25</v>
      </c>
      <c r="G32">
        <v>8</v>
      </c>
    </row>
    <row r="33" spans="1:7" x14ac:dyDescent="0.25">
      <c r="A33" t="s">
        <v>111</v>
      </c>
      <c r="E33">
        <v>3</v>
      </c>
      <c r="F33">
        <v>15</v>
      </c>
      <c r="G33">
        <v>10</v>
      </c>
    </row>
    <row r="34" spans="1:7" x14ac:dyDescent="0.25">
      <c r="A34" t="s">
        <v>114</v>
      </c>
      <c r="E34">
        <v>3</v>
      </c>
      <c r="F34">
        <v>12.5</v>
      </c>
      <c r="G34">
        <v>10</v>
      </c>
    </row>
    <row r="35" spans="1:7" x14ac:dyDescent="0.25">
      <c r="A35" t="s">
        <v>116</v>
      </c>
    </row>
    <row r="36" spans="1:7" x14ac:dyDescent="0.25">
      <c r="A36" t="s">
        <v>34</v>
      </c>
      <c r="E36">
        <v>2</v>
      </c>
      <c r="F36">
        <v>20</v>
      </c>
      <c r="G36">
        <v>10</v>
      </c>
    </row>
    <row r="37" spans="1:7" x14ac:dyDescent="0.25">
      <c r="A37" t="s">
        <v>121</v>
      </c>
    </row>
    <row r="39" spans="1:7" ht="16" thickBot="1" x14ac:dyDescent="0.4">
      <c r="A39" s="103" t="s">
        <v>230</v>
      </c>
      <c r="B39" s="104">
        <v>157.85</v>
      </c>
      <c r="C39" t="s">
        <v>231</v>
      </c>
    </row>
  </sheetData>
  <dataValidations count="27">
    <dataValidation type="list" allowBlank="1" showInputMessage="1" showErrorMessage="1" sqref="A5" xr:uid="{AFDC0FCF-EC67-48C8-9EB1-B6526840763C}">
      <formula1>"Lying Leg Curl,Seated Leg Curl,Nordic Ham Curl"</formula1>
    </dataValidation>
    <dataValidation type="list" allowBlank="1" showInputMessage="1" showErrorMessage="1" sqref="B5 E5 B6 E6 B7 E7 B8 E8 B9 E9 B10 E10 B13 E13 B14 E14 B15 E15 B16 E16 B17 E17 B18 E18 B19 E19 B22 E22 B23 E23 B24 E24 B25 E25 B26 E26 B29 E29 B30 E30 B31 E31 B32 E32 B33 E33 B34 E34 B35 E35 B36 E36 B37 E37" xr:uid="{0084291F-E28F-40BA-8599-CCC7DC485613}">
      <formula1>"1,2,3"</formula1>
    </dataValidation>
    <dataValidation type="list" allowBlank="1" showInputMessage="1" showErrorMessage="1" sqref="A6" xr:uid="{C37B3653-8F07-4319-87D2-D781107E30F4}">
      <formula1>"Squat (Your Choice),Barbell Back Squat,Front Squat,Pendulum Squat,Hack Squat,Belt Squat,Smith Machine Squat"</formula1>
    </dataValidation>
    <dataValidation type="list" allowBlank="1" showInputMessage="1" showErrorMessage="1" sqref="A7" xr:uid="{C437752D-6B20-4C17-8013-091319F152FB}">
      <formula1>"Barbell Incline Press,Smith Machine Incline Press,DB Incline Press"</formula1>
    </dataValidation>
    <dataValidation type="list" allowBlank="1" showInputMessage="1" showErrorMessage="1" sqref="A8" xr:uid="{5398244F-360F-4168-AD34-46E457E1E0FF}">
      <formula1>"Incline DB Y-Raise,Cable Y-Raise,Machine Lateral Raise"</formula1>
    </dataValidation>
    <dataValidation type="list" allowBlank="1" showInputMessage="1" showErrorMessage="1" sqref="A9" xr:uid="{5642E54D-AA77-4C4C-BAD0-15E477EB4953}">
      <formula1>"Pull-Up (Wide Grip),Lat Pulldown (Wide Grip),1-Arm Cable Pulldown"</formula1>
    </dataValidation>
    <dataValidation type="list" allowBlank="1" showInputMessage="1" showErrorMessage="1" sqref="A10 A26" xr:uid="{56FC60A7-2BE0-43BD-9C36-89D126403239}">
      <formula1>"Standing Calf Raise,Leg Press Calf Press,Donkey Calf Raise"</formula1>
    </dataValidation>
    <dataValidation type="list" allowBlank="1" showInputMessage="1" showErrorMessage="1" sqref="A13" xr:uid="{FD132719-8477-4B3E-A676-FC5B1AA04132}">
      <formula1>"Close-Grip Lat Pulldown,Close-Grip Pull-Up,1-Arm Cable Pulldown"</formula1>
    </dataValidation>
    <dataValidation type="list" allowBlank="1" showInputMessage="1" showErrorMessage="1" sqref="A14" xr:uid="{5377BED4-AED9-4EDF-8FDD-180E69A1F790}">
      <formula1>"Chest-Supported T-Bar Row,Chest-Supported Machine Row,Chest-Supported DB Row"</formula1>
    </dataValidation>
    <dataValidation type="list" allowBlank="1" showInputMessage="1" showErrorMessage="1" sqref="A15" xr:uid="{CF1378D2-FBEF-494C-B21B-1072CA3BCC46}">
      <formula1>"Machine Shrug,Barbell Shrug,Cable Shrug-In"</formula1>
    </dataValidation>
    <dataValidation type="list" allowBlank="1" showInputMessage="1" showErrorMessage="1" sqref="A16" xr:uid="{A21D580B-5041-4929-AFED-CF83EA7F04A5}">
      <formula1>"Machine Chest Press,Smith Machine Bench Press,DB Bench Press"</formula1>
    </dataValidation>
    <dataValidation type="list" allowBlank="1" showInputMessage="1" showErrorMessage="1" sqref="A17" xr:uid="{3702C7CD-426E-414D-9EF7-14EF887C6267}">
      <formula1>"High-Cable Lateral Raise,DB Lateral Raise,Machine Lateral Raise"</formula1>
    </dataValidation>
    <dataValidation type="list" allowBlank="1" showInputMessage="1" showErrorMessage="1" sqref="A18" xr:uid="{0CB49CBB-5991-4EF3-93EC-89CEE80BB63C}">
      <formula1>"1-Arm Reverse Pec Deck,Lying Reverse DB Flye,Reverse Cable Crossover"</formula1>
    </dataValidation>
    <dataValidation type="list" allowBlank="1" showInputMessage="1" showErrorMessage="1" sqref="A19" xr:uid="{F0932DB4-DAC6-49EA-B0E8-33E45784144B}">
      <formula1>"Cable Crunch,Weighted Crunch,Machine Crunch"</formula1>
    </dataValidation>
    <dataValidation type="list" allowBlank="1" showInputMessage="1" showErrorMessage="1" sqref="A22" xr:uid="{BA5316BE-6D01-4EF7-BB0F-1541E42CDCEB}">
      <formula1>"Leg Extension,Reverse Nordic,Sissy Squat"</formula1>
    </dataValidation>
    <dataValidation type="list" allowBlank="1" showInputMessage="1" showErrorMessage="1" sqref="A23" xr:uid="{E4579391-8C5C-4272-A66A-47F7D20EF6D4}">
      <formula1>"Barbell RDL,DB RDL,Seated Cable Deadlift"</formula1>
    </dataValidation>
    <dataValidation type="list" allowBlank="1" showInputMessage="1" showErrorMessage="1" sqref="A24" xr:uid="{3C435923-7855-406A-9021-1261D82F2848}">
      <formula1>"Machine Hip Thrust,Barbell Hip Thrust,45° Hyperextension"</formula1>
    </dataValidation>
    <dataValidation type="list" allowBlank="1" showInputMessage="1" showErrorMessage="1" sqref="A25" xr:uid="{FA657DB3-988B-4F9D-B8EF-20A58471501F}">
      <formula1>"Leg Press,Smith Machine Squat,Barbell Squat"</formula1>
    </dataValidation>
    <dataValidation type="list" allowBlank="1" showInputMessage="1" showErrorMessage="1" sqref="A29" xr:uid="{AE9A870A-9BD9-4AD3-A175-56D35F99EF11}">
      <formula1>"Bayesian Cable Curl,Incline DB Curl,Standing DB Curl"</formula1>
    </dataValidation>
    <dataValidation type="list" allowBlank="1" showInputMessage="1" showErrorMessage="1" sqref="A30" xr:uid="{83EB6B88-CD73-44BE-B3D6-AFE1A5468207}">
      <formula1>"Overhead Cable Triceps Extension,Overhead DB Triceps Extension,Skull Crusher"</formula1>
    </dataValidation>
    <dataValidation type="list" allowBlank="1" showInputMessage="1" showErrorMessage="1" sqref="A31" xr:uid="{2C50D0CC-3226-4268-AC26-EA05C0D4A7FF}">
      <formula1>"Modified Zottman Curl,DB Hammer Curl,Preacher Hammer Curl"</formula1>
    </dataValidation>
    <dataValidation type="list" allowBlank="1" showInputMessage="1" showErrorMessage="1" sqref="A32" xr:uid="{6C2CE04D-8816-4FA6-AE28-3F833C765F40}">
      <formula1>"Cable Triceps Kickback,Seated Dip Machine,Close-Grip Dip"</formula1>
    </dataValidation>
    <dataValidation type="list" allowBlank="1" showInputMessage="1" showErrorMessage="1" sqref="A33" xr:uid="{231049BF-1BF7-4538-B131-82788D47B3C3}">
      <formula1>"DB Wrist Curl,Cable Wrist Curl"</formula1>
    </dataValidation>
    <dataValidation type="list" allowBlank="1" showInputMessage="1" showErrorMessage="1" sqref="A34" xr:uid="{442E7471-1818-4B65-A4DA-C5F733E610F7}">
      <formula1>"DB Wrist Extension,Cable Wrist Extension"</formula1>
    </dataValidation>
    <dataValidation type="list" allowBlank="1" showInputMessage="1" showErrorMessage="1" sqref="A35" xr:uid="{01328E36-2164-4A7D-8887-22273D7CF6A1}">
      <formula1>"Alternating DB Curl,Barbell Curl,EZ-Bar Curl"</formula1>
    </dataValidation>
    <dataValidation type="list" allowBlank="1" showInputMessage="1" showErrorMessage="1" sqref="A36" xr:uid="{BE20BFD7-3171-49BA-8B5C-E636C0C8A235}">
      <formula1>"Machine Lateral Raise,High-Cable Lateral Raise,DB Lateral Raise"</formula1>
    </dataValidation>
    <dataValidation type="list" allowBlank="1" showInputMessage="1" showErrorMessage="1" sqref="A37" xr:uid="{1EB10432-565B-4E1C-8062-BE92C210BF4A}">
      <formula1>"Dead Hang (optional)"</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1E87-3459-4BEF-8C0C-12BE7401C46A}">
  <dimension ref="A1:G39"/>
  <sheetViews>
    <sheetView workbookViewId="0"/>
  </sheetViews>
  <sheetFormatPr defaultRowHeight="12.5" x14ac:dyDescent="0.25"/>
  <cols>
    <col min="1" max="1" width="40" customWidth="1"/>
    <col min="2" max="3" width="18.1796875" customWidth="1"/>
    <col min="4" max="4" width="20" customWidth="1"/>
    <col min="5" max="5" width="18.1796875" customWidth="1"/>
    <col min="6" max="6" width="20" customWidth="1"/>
    <col min="7" max="7" width="18.1796875" customWidth="1"/>
  </cols>
  <sheetData>
    <row r="1" spans="1:7" ht="18" x14ac:dyDescent="0.4">
      <c r="A1" s="92" t="s">
        <v>156</v>
      </c>
    </row>
    <row r="3" spans="1:7" ht="13" x14ac:dyDescent="0.3">
      <c r="A3" s="93" t="s">
        <v>7</v>
      </c>
      <c r="B3" s="93" t="s">
        <v>151</v>
      </c>
      <c r="C3" s="93" t="s">
        <v>152</v>
      </c>
      <c r="D3" s="93" t="s">
        <v>153</v>
      </c>
      <c r="E3" s="93" t="s">
        <v>10</v>
      </c>
      <c r="F3" s="93" t="s">
        <v>154</v>
      </c>
      <c r="G3" s="93" t="s">
        <v>155</v>
      </c>
    </row>
    <row r="4" spans="1:7" ht="13" x14ac:dyDescent="0.3">
      <c r="A4" s="94" t="s">
        <v>140</v>
      </c>
      <c r="B4" s="94"/>
      <c r="C4" s="94"/>
      <c r="D4" s="94"/>
      <c r="E4" s="94"/>
      <c r="F4" s="94"/>
      <c r="G4" s="94"/>
    </row>
    <row r="5" spans="1:7" x14ac:dyDescent="0.25">
      <c r="A5" t="s">
        <v>41</v>
      </c>
    </row>
    <row r="6" spans="1:7" x14ac:dyDescent="0.25">
      <c r="A6" t="s">
        <v>45</v>
      </c>
    </row>
    <row r="7" spans="1:7" x14ac:dyDescent="0.25">
      <c r="A7" t="s">
        <v>24</v>
      </c>
    </row>
    <row r="8" spans="1:7" x14ac:dyDescent="0.25">
      <c r="A8" t="s">
        <v>31</v>
      </c>
    </row>
    <row r="9" spans="1:7" x14ac:dyDescent="0.25">
      <c r="A9" t="s">
        <v>36</v>
      </c>
    </row>
    <row r="10" spans="1:7" x14ac:dyDescent="0.25">
      <c r="A10" t="s">
        <v>52</v>
      </c>
    </row>
    <row r="12" spans="1:7" ht="13" x14ac:dyDescent="0.3">
      <c r="A12" s="94" t="s">
        <v>142</v>
      </c>
      <c r="B12" s="94"/>
      <c r="C12" s="94"/>
      <c r="D12" s="94"/>
      <c r="E12" s="94"/>
      <c r="F12" s="94"/>
      <c r="G12" s="94"/>
    </row>
    <row r="13" spans="1:7" x14ac:dyDescent="0.25">
      <c r="A13" t="s">
        <v>56</v>
      </c>
    </row>
    <row r="14" spans="1:7" x14ac:dyDescent="0.25">
      <c r="A14" t="s">
        <v>59</v>
      </c>
    </row>
    <row r="15" spans="1:7" x14ac:dyDescent="0.25">
      <c r="A15" t="s">
        <v>63</v>
      </c>
    </row>
    <row r="16" spans="1:7" x14ac:dyDescent="0.25">
      <c r="A16" t="s">
        <v>67</v>
      </c>
    </row>
    <row r="17" spans="1:7" x14ac:dyDescent="0.25">
      <c r="A17" t="s">
        <v>71</v>
      </c>
    </row>
    <row r="18" spans="1:7" x14ac:dyDescent="0.25">
      <c r="A18" t="s">
        <v>74</v>
      </c>
    </row>
    <row r="19" spans="1:7" x14ac:dyDescent="0.25">
      <c r="A19" t="s">
        <v>78</v>
      </c>
    </row>
    <row r="21" spans="1:7" ht="13" x14ac:dyDescent="0.3">
      <c r="A21" s="94" t="s">
        <v>143</v>
      </c>
      <c r="B21" s="94"/>
      <c r="C21" s="94"/>
      <c r="D21" s="94"/>
      <c r="E21" s="94"/>
      <c r="F21" s="94"/>
      <c r="G21" s="94"/>
    </row>
    <row r="22" spans="1:7" x14ac:dyDescent="0.25">
      <c r="A22" t="s">
        <v>48</v>
      </c>
    </row>
    <row r="23" spans="1:7" x14ac:dyDescent="0.25">
      <c r="A23" t="s">
        <v>82</v>
      </c>
    </row>
    <row r="24" spans="1:7" x14ac:dyDescent="0.25">
      <c r="A24" t="s">
        <v>86</v>
      </c>
    </row>
    <row r="25" spans="1:7" x14ac:dyDescent="0.25">
      <c r="A25" t="s">
        <v>90</v>
      </c>
    </row>
    <row r="26" spans="1:7" x14ac:dyDescent="0.25">
      <c r="A26" t="s">
        <v>52</v>
      </c>
    </row>
    <row r="28" spans="1:7" ht="13" x14ac:dyDescent="0.3">
      <c r="A28" s="94" t="s">
        <v>94</v>
      </c>
      <c r="B28" s="94"/>
      <c r="C28" s="94"/>
      <c r="D28" s="94"/>
      <c r="E28" s="94"/>
      <c r="F28" s="94"/>
      <c r="G28" s="94"/>
    </row>
    <row r="29" spans="1:7" x14ac:dyDescent="0.25">
      <c r="A29" t="s">
        <v>95</v>
      </c>
    </row>
    <row r="30" spans="1:7" x14ac:dyDescent="0.25">
      <c r="A30" t="s">
        <v>99</v>
      </c>
    </row>
    <row r="31" spans="1:7" x14ac:dyDescent="0.25">
      <c r="A31" t="s">
        <v>103</v>
      </c>
    </row>
    <row r="32" spans="1:7" x14ac:dyDescent="0.25">
      <c r="A32" t="s">
        <v>107</v>
      </c>
    </row>
    <row r="33" spans="1:3" x14ac:dyDescent="0.25">
      <c r="A33" t="s">
        <v>111</v>
      </c>
    </row>
    <row r="34" spans="1:3" x14ac:dyDescent="0.25">
      <c r="A34" t="s">
        <v>114</v>
      </c>
    </row>
    <row r="35" spans="1:3" x14ac:dyDescent="0.25">
      <c r="A35" t="s">
        <v>116</v>
      </c>
    </row>
    <row r="36" spans="1:3" x14ac:dyDescent="0.25">
      <c r="A36" t="s">
        <v>34</v>
      </c>
    </row>
    <row r="37" spans="1:3" x14ac:dyDescent="0.25">
      <c r="A37" t="s">
        <v>121</v>
      </c>
    </row>
    <row r="39" spans="1:3" ht="16" thickBot="1" x14ac:dyDescent="0.4">
      <c r="A39" s="103" t="s">
        <v>230</v>
      </c>
      <c r="B39" s="104"/>
      <c r="C39" t="s">
        <v>231</v>
      </c>
    </row>
  </sheetData>
  <dataValidations count="27">
    <dataValidation type="list" allowBlank="1" showInputMessage="1" showErrorMessage="1" sqref="A37" xr:uid="{E9900123-C605-4AC1-8315-BA9C8929F0F7}">
      <formula1>"Dead Hang (optional)"</formula1>
    </dataValidation>
    <dataValidation type="list" allowBlank="1" showInputMessage="1" showErrorMessage="1" sqref="A36" xr:uid="{EFE74ADA-0B36-4748-AE4E-B8BA1103BBB3}">
      <formula1>"Machine Lateral Raise,High-Cable Lateral Raise,DB Lateral Raise"</formula1>
    </dataValidation>
    <dataValidation type="list" allowBlank="1" showInputMessage="1" showErrorMessage="1" sqref="A35" xr:uid="{9CDC114E-769D-4B9A-B790-66A840D12A23}">
      <formula1>"Alternating DB Curl,Barbell Curl,EZ-Bar Curl"</formula1>
    </dataValidation>
    <dataValidation type="list" allowBlank="1" showInputMessage="1" showErrorMessage="1" sqref="A34" xr:uid="{1F5EF2D4-9F4F-4D6B-AA81-5112701A1EC5}">
      <formula1>"DB Wrist Extension,Cable Wrist Extension"</formula1>
    </dataValidation>
    <dataValidation type="list" allowBlank="1" showInputMessage="1" showErrorMessage="1" sqref="A33" xr:uid="{94D9C4B7-258D-480D-B3C1-B7D89DDF8FFD}">
      <formula1>"DB Wrist Curl,Cable Wrist Curl"</formula1>
    </dataValidation>
    <dataValidation type="list" allowBlank="1" showInputMessage="1" showErrorMessage="1" sqref="A32" xr:uid="{5024448D-7102-40F9-8315-7A6C5061F1EF}">
      <formula1>"Cable Triceps Kickback,Seated Dip Machine,Close-Grip Dip"</formula1>
    </dataValidation>
    <dataValidation type="list" allowBlank="1" showInputMessage="1" showErrorMessage="1" sqref="A31" xr:uid="{88925AE8-167C-4CA9-B810-5F8C93E1F326}">
      <formula1>"Modified Zottman Curl,DB Hammer Curl,Preacher Hammer Curl"</formula1>
    </dataValidation>
    <dataValidation type="list" allowBlank="1" showInputMessage="1" showErrorMessage="1" sqref="A30" xr:uid="{2F4CA569-8160-4AD4-8AD2-BCA8383D91DF}">
      <formula1>"Overhead Cable Triceps Extension,Overhead DB Triceps Extension,Skull Crusher"</formula1>
    </dataValidation>
    <dataValidation type="list" allowBlank="1" showInputMessage="1" showErrorMessage="1" sqref="A29" xr:uid="{40EC525A-7032-4C80-8692-F859D5D06D04}">
      <formula1>"Bayesian Cable Curl,Incline DB Curl,Standing DB Curl"</formula1>
    </dataValidation>
    <dataValidation type="list" allowBlank="1" showInputMessage="1" showErrorMessage="1" sqref="A25" xr:uid="{F83FFE1E-0041-4CBC-866E-88B661E2F878}">
      <formula1>"Leg Press,Smith Machine Squat,Barbell Squat"</formula1>
    </dataValidation>
    <dataValidation type="list" allowBlank="1" showInputMessage="1" showErrorMessage="1" sqref="A24" xr:uid="{65545501-BE4F-4AF4-A2F1-9E4F9A406C75}">
      <formula1>"Machine Hip Thrust,Barbell Hip Thrust,45° Hyperextension"</formula1>
    </dataValidation>
    <dataValidation type="list" allowBlank="1" showInputMessage="1" showErrorMessage="1" sqref="A23" xr:uid="{F911ABAC-116F-400F-8230-C02D2E41DC5F}">
      <formula1>"Barbell RDL,DB RDL,Seated Cable Deadlift"</formula1>
    </dataValidation>
    <dataValidation type="list" allowBlank="1" showInputMessage="1" showErrorMessage="1" sqref="A22" xr:uid="{26F179D8-CCCE-4C4A-81A2-9B59C06D798B}">
      <formula1>"Leg Extension,Reverse Nordic,Sissy Squat"</formula1>
    </dataValidation>
    <dataValidation type="list" allowBlank="1" showInputMessage="1" showErrorMessage="1" sqref="A19" xr:uid="{DEC36523-2328-4394-BD85-72C2B946B72D}">
      <formula1>"Cable Crunch,Weighted Crunch,Machine Crunch"</formula1>
    </dataValidation>
    <dataValidation type="list" allowBlank="1" showInputMessage="1" showErrorMessage="1" sqref="A18" xr:uid="{895AB33E-FEBF-4C34-944D-663478D8E73A}">
      <formula1>"1-Arm Reverse Pec Deck,Lying Reverse DB Flye,Reverse Cable Crossover"</formula1>
    </dataValidation>
    <dataValidation type="list" allowBlank="1" showInputMessage="1" showErrorMessage="1" sqref="A17" xr:uid="{D2B9D2C6-0D47-4C8E-B261-3149B6553665}">
      <formula1>"High-Cable Lateral Raise,DB Lateral Raise,Machine Lateral Raise"</formula1>
    </dataValidation>
    <dataValidation type="list" allowBlank="1" showInputMessage="1" showErrorMessage="1" sqref="A16" xr:uid="{E5F3154E-45D6-44E7-B04B-67AF70DD72F2}">
      <formula1>"Machine Chest Press,Smith Machine Bench Press,DB Bench Press"</formula1>
    </dataValidation>
    <dataValidation type="list" allowBlank="1" showInputMessage="1" showErrorMessage="1" sqref="A15" xr:uid="{CEB3C749-2D44-463D-BAE3-C862A1CA95A5}">
      <formula1>"Machine Shrug,Barbell Shrug,Cable Shrug-In"</formula1>
    </dataValidation>
    <dataValidation type="list" allowBlank="1" showInputMessage="1" showErrorMessage="1" sqref="A14" xr:uid="{2AC6A96B-D86E-41E6-8781-89FAE32BDAB7}">
      <formula1>"Chest-Supported T-Bar Row,Chest-Supported Machine Row,Chest-Supported DB Row"</formula1>
    </dataValidation>
    <dataValidation type="list" allowBlank="1" showInputMessage="1" showErrorMessage="1" sqref="A13" xr:uid="{7762C54B-B49A-44E9-B5CC-14424F4E089C}">
      <formula1>"Close-Grip Lat Pulldown,Close-Grip Pull-Up,1-Arm Cable Pulldown"</formula1>
    </dataValidation>
    <dataValidation type="list" allowBlank="1" showInputMessage="1" showErrorMessage="1" sqref="A10 A26" xr:uid="{44DCB036-63EC-419A-9CB9-50DE1CFA433C}">
      <formula1>"Standing Calf Raise,Leg Press Calf Press,Donkey Calf Raise"</formula1>
    </dataValidation>
    <dataValidation type="list" allowBlank="1" showInputMessage="1" showErrorMessage="1" sqref="A9" xr:uid="{68BC9BE4-D529-414D-A8DD-FC1E0CC5A306}">
      <formula1>"Pull-Up (Wide Grip),Lat Pulldown (Wide Grip),1-Arm Cable Pulldown"</formula1>
    </dataValidation>
    <dataValidation type="list" allowBlank="1" showInputMessage="1" showErrorMessage="1" sqref="A8" xr:uid="{3E19781D-9C2E-40EE-9DD7-6731A9DDB880}">
      <formula1>"Incline DB Y-Raise,Cable Y-Raise,Machine Lateral Raise"</formula1>
    </dataValidation>
    <dataValidation type="list" allowBlank="1" showInputMessage="1" showErrorMessage="1" sqref="A7" xr:uid="{32CEE8CE-7B82-452E-9AE5-37EFEB7634E0}">
      <formula1>"Barbell Incline Press,Smith Machine Incline Press,DB Incline Press"</formula1>
    </dataValidation>
    <dataValidation type="list" allowBlank="1" showInputMessage="1" showErrorMessage="1" sqref="A6" xr:uid="{062EC2D7-FC08-4F41-9D00-84292EC8409A}">
      <formula1>"Squat (Your Choice),Barbell Back Squat,Front Squat,Pendulum Squat,Hack Squat,Belt Squat,Smith Machine Squat"</formula1>
    </dataValidation>
    <dataValidation type="list" allowBlank="1" showInputMessage="1" showErrorMessage="1" sqref="B5:B10 E5:E10 B13:B19 E13:E19 B22:B26 E22:E26 B29:B37 E29:E37" xr:uid="{50B13E14-10A9-4B19-A11B-77ABB01AA8DD}">
      <formula1>"1,2,3"</formula1>
    </dataValidation>
    <dataValidation type="list" allowBlank="1" showInputMessage="1" showErrorMessage="1" sqref="A5" xr:uid="{4B711D74-8660-4EA1-9ED2-9DF2688992AF}">
      <formula1>"Lying Leg Curl,Seated Leg Curl,Nordic Ham Curl"</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FC180-56BB-4772-9675-021567D0EC08}">
  <dimension ref="A1:G39"/>
  <sheetViews>
    <sheetView workbookViewId="0"/>
  </sheetViews>
  <sheetFormatPr defaultRowHeight="12.5" x14ac:dyDescent="0.25"/>
  <cols>
    <col min="1" max="1" width="40" customWidth="1"/>
    <col min="2" max="3" width="18.1796875" customWidth="1"/>
    <col min="4" max="4" width="20" customWidth="1"/>
    <col min="5" max="5" width="18.1796875" customWidth="1"/>
    <col min="6" max="6" width="20" customWidth="1"/>
    <col min="7" max="7" width="18.1796875" customWidth="1"/>
  </cols>
  <sheetData>
    <row r="1" spans="1:7" ht="18" x14ac:dyDescent="0.4">
      <c r="A1" s="92" t="s">
        <v>157</v>
      </c>
    </row>
    <row r="3" spans="1:7" ht="13" x14ac:dyDescent="0.3">
      <c r="A3" s="93" t="s">
        <v>7</v>
      </c>
      <c r="B3" s="93" t="s">
        <v>151</v>
      </c>
      <c r="C3" s="93" t="s">
        <v>152</v>
      </c>
      <c r="D3" s="93" t="s">
        <v>153</v>
      </c>
      <c r="E3" s="93" t="s">
        <v>10</v>
      </c>
      <c r="F3" s="93" t="s">
        <v>154</v>
      </c>
      <c r="G3" s="93" t="s">
        <v>155</v>
      </c>
    </row>
    <row r="4" spans="1:7" ht="13" x14ac:dyDescent="0.3">
      <c r="A4" s="94" t="s">
        <v>140</v>
      </c>
      <c r="B4" s="94"/>
      <c r="C4" s="94"/>
      <c r="D4" s="94"/>
      <c r="E4" s="94"/>
      <c r="F4" s="94"/>
      <c r="G4" s="94"/>
    </row>
    <row r="5" spans="1:7" x14ac:dyDescent="0.25">
      <c r="A5" t="s">
        <v>41</v>
      </c>
    </row>
    <row r="6" spans="1:7" x14ac:dyDescent="0.25">
      <c r="A6" t="s">
        <v>45</v>
      </c>
    </row>
    <row r="7" spans="1:7" x14ac:dyDescent="0.25">
      <c r="A7" t="s">
        <v>24</v>
      </c>
    </row>
    <row r="8" spans="1:7" x14ac:dyDescent="0.25">
      <c r="A8" t="s">
        <v>31</v>
      </c>
    </row>
    <row r="9" spans="1:7" x14ac:dyDescent="0.25">
      <c r="A9" t="s">
        <v>36</v>
      </c>
    </row>
    <row r="10" spans="1:7" x14ac:dyDescent="0.25">
      <c r="A10" t="s">
        <v>52</v>
      </c>
    </row>
    <row r="12" spans="1:7" ht="13" x14ac:dyDescent="0.3">
      <c r="A12" s="94" t="s">
        <v>142</v>
      </c>
      <c r="B12" s="94"/>
      <c r="C12" s="94"/>
      <c r="D12" s="94"/>
      <c r="E12" s="94"/>
      <c r="F12" s="94"/>
      <c r="G12" s="94"/>
    </row>
    <row r="13" spans="1:7" x14ac:dyDescent="0.25">
      <c r="A13" t="s">
        <v>56</v>
      </c>
    </row>
    <row r="14" spans="1:7" x14ac:dyDescent="0.25">
      <c r="A14" t="s">
        <v>59</v>
      </c>
    </row>
    <row r="15" spans="1:7" x14ac:dyDescent="0.25">
      <c r="A15" t="s">
        <v>63</v>
      </c>
    </row>
    <row r="16" spans="1:7" x14ac:dyDescent="0.25">
      <c r="A16" t="s">
        <v>67</v>
      </c>
    </row>
    <row r="17" spans="1:7" x14ac:dyDescent="0.25">
      <c r="A17" t="s">
        <v>71</v>
      </c>
    </row>
    <row r="18" spans="1:7" x14ac:dyDescent="0.25">
      <c r="A18" t="s">
        <v>74</v>
      </c>
    </row>
    <row r="19" spans="1:7" x14ac:dyDescent="0.25">
      <c r="A19" t="s">
        <v>78</v>
      </c>
    </row>
    <row r="21" spans="1:7" ht="13" x14ac:dyDescent="0.3">
      <c r="A21" s="94" t="s">
        <v>143</v>
      </c>
      <c r="B21" s="94"/>
      <c r="C21" s="94"/>
      <c r="D21" s="94"/>
      <c r="E21" s="94"/>
      <c r="F21" s="94"/>
      <c r="G21" s="94"/>
    </row>
    <row r="22" spans="1:7" x14ac:dyDescent="0.25">
      <c r="A22" t="s">
        <v>48</v>
      </c>
    </row>
    <row r="23" spans="1:7" x14ac:dyDescent="0.25">
      <c r="A23" t="s">
        <v>82</v>
      </c>
    </row>
    <row r="24" spans="1:7" x14ac:dyDescent="0.25">
      <c r="A24" t="s">
        <v>86</v>
      </c>
    </row>
    <row r="25" spans="1:7" x14ac:dyDescent="0.25">
      <c r="A25" t="s">
        <v>90</v>
      </c>
    </row>
    <row r="26" spans="1:7" x14ac:dyDescent="0.25">
      <c r="A26" t="s">
        <v>52</v>
      </c>
    </row>
    <row r="28" spans="1:7" ht="13" x14ac:dyDescent="0.3">
      <c r="A28" s="94" t="s">
        <v>94</v>
      </c>
      <c r="B28" s="94"/>
      <c r="C28" s="94"/>
      <c r="D28" s="94"/>
      <c r="E28" s="94"/>
      <c r="F28" s="94"/>
      <c r="G28" s="94"/>
    </row>
    <row r="29" spans="1:7" x14ac:dyDescent="0.25">
      <c r="A29" t="s">
        <v>95</v>
      </c>
    </row>
    <row r="30" spans="1:7" x14ac:dyDescent="0.25">
      <c r="A30" t="s">
        <v>99</v>
      </c>
    </row>
    <row r="31" spans="1:7" x14ac:dyDescent="0.25">
      <c r="A31" t="s">
        <v>103</v>
      </c>
    </row>
    <row r="32" spans="1:7" x14ac:dyDescent="0.25">
      <c r="A32" t="s">
        <v>107</v>
      </c>
    </row>
    <row r="33" spans="1:3" x14ac:dyDescent="0.25">
      <c r="A33" t="s">
        <v>111</v>
      </c>
    </row>
    <row r="34" spans="1:3" x14ac:dyDescent="0.25">
      <c r="A34" t="s">
        <v>114</v>
      </c>
    </row>
    <row r="35" spans="1:3" x14ac:dyDescent="0.25">
      <c r="A35" t="s">
        <v>116</v>
      </c>
    </row>
    <row r="36" spans="1:3" x14ac:dyDescent="0.25">
      <c r="A36" t="s">
        <v>34</v>
      </c>
    </row>
    <row r="37" spans="1:3" x14ac:dyDescent="0.25">
      <c r="A37" t="s">
        <v>121</v>
      </c>
    </row>
    <row r="39" spans="1:3" ht="16" thickBot="1" x14ac:dyDescent="0.4">
      <c r="A39" s="103" t="s">
        <v>230</v>
      </c>
      <c r="B39" s="104"/>
      <c r="C39" t="s">
        <v>231</v>
      </c>
    </row>
  </sheetData>
  <dataValidations count="27">
    <dataValidation type="list" allowBlank="1" showInputMessage="1" showErrorMessage="1" sqref="A37" xr:uid="{648A84CB-9561-4176-914F-0BB31956C190}">
      <formula1>"Dead Hang (optional)"</formula1>
    </dataValidation>
    <dataValidation type="list" allowBlank="1" showInputMessage="1" showErrorMessage="1" sqref="A36" xr:uid="{C2F3551B-CD4B-4EC6-9658-985737ACB43D}">
      <formula1>"Machine Lateral Raise,High-Cable Lateral Raise,DB Lateral Raise"</formula1>
    </dataValidation>
    <dataValidation type="list" allowBlank="1" showInputMessage="1" showErrorMessage="1" sqref="A35" xr:uid="{DE4BFEAE-667C-4678-B41D-82014823CE6E}">
      <formula1>"Alternating DB Curl,Barbell Curl,EZ-Bar Curl"</formula1>
    </dataValidation>
    <dataValidation type="list" allowBlank="1" showInputMessage="1" showErrorMessage="1" sqref="A34" xr:uid="{87065103-EE0D-448D-9602-7548726BD3CE}">
      <formula1>"DB Wrist Extension,Cable Wrist Extension"</formula1>
    </dataValidation>
    <dataValidation type="list" allowBlank="1" showInputMessage="1" showErrorMessage="1" sqref="A33" xr:uid="{88424280-0678-4548-AD7E-EFE643AAA6BF}">
      <formula1>"DB Wrist Curl,Cable Wrist Curl"</formula1>
    </dataValidation>
    <dataValidation type="list" allowBlank="1" showInputMessage="1" showErrorMessage="1" sqref="A32" xr:uid="{8C848D34-8893-4C2D-8FD9-7B755D5F8393}">
      <formula1>"Cable Triceps Kickback,Seated Dip Machine,Close-Grip Dip"</formula1>
    </dataValidation>
    <dataValidation type="list" allowBlank="1" showInputMessage="1" showErrorMessage="1" sqref="A31" xr:uid="{E27E4A5C-83FA-442F-85C8-31341BB753CC}">
      <formula1>"Modified Zottman Curl,DB Hammer Curl,Preacher Hammer Curl"</formula1>
    </dataValidation>
    <dataValidation type="list" allowBlank="1" showInputMessage="1" showErrorMessage="1" sqref="A30" xr:uid="{2DDABABB-BE75-4C0E-90A2-1E2FFA9E5586}">
      <formula1>"Overhead Cable Triceps Extension,Overhead DB Triceps Extension,Skull Crusher"</formula1>
    </dataValidation>
    <dataValidation type="list" allowBlank="1" showInputMessage="1" showErrorMessage="1" sqref="A29" xr:uid="{A74026CE-7B50-4040-800D-AB68A07A5441}">
      <formula1>"Bayesian Cable Curl,Incline DB Curl,Standing DB Curl"</formula1>
    </dataValidation>
    <dataValidation type="list" allowBlank="1" showInputMessage="1" showErrorMessage="1" sqref="A25" xr:uid="{D64910D7-BEA8-4D4B-864A-DFD5DB8402C1}">
      <formula1>"Leg Press,Smith Machine Squat,Barbell Squat"</formula1>
    </dataValidation>
    <dataValidation type="list" allowBlank="1" showInputMessage="1" showErrorMessage="1" sqref="A24" xr:uid="{F2C8EE95-9780-44B2-AB08-D32C8CD608AA}">
      <formula1>"Machine Hip Thrust,Barbell Hip Thrust,45° Hyperextension"</formula1>
    </dataValidation>
    <dataValidation type="list" allowBlank="1" showInputMessage="1" showErrorMessage="1" sqref="A23" xr:uid="{6C05ED01-F56D-4929-B96D-B85CA27CCED8}">
      <formula1>"Barbell RDL,DB RDL,Seated Cable Deadlift"</formula1>
    </dataValidation>
    <dataValidation type="list" allowBlank="1" showInputMessage="1" showErrorMessage="1" sqref="A22" xr:uid="{6E40DCFB-AB01-425B-9DA6-BE72FD066231}">
      <formula1>"Leg Extension,Reverse Nordic,Sissy Squat"</formula1>
    </dataValidation>
    <dataValidation type="list" allowBlank="1" showInputMessage="1" showErrorMessage="1" sqref="A19" xr:uid="{0206B504-3856-4852-8325-709A4F917FF2}">
      <formula1>"Cable Crunch,Weighted Crunch,Machine Crunch"</formula1>
    </dataValidation>
    <dataValidation type="list" allowBlank="1" showInputMessage="1" showErrorMessage="1" sqref="A18" xr:uid="{94AB976A-BF93-4E1E-A388-4D1FA49C3D2D}">
      <formula1>"1-Arm Reverse Pec Deck,Lying Reverse DB Flye,Reverse Cable Crossover"</formula1>
    </dataValidation>
    <dataValidation type="list" allowBlank="1" showInputMessage="1" showErrorMessage="1" sqref="A17" xr:uid="{E833E8EB-CD79-4A08-AF68-79B0DEB95DE6}">
      <formula1>"High-Cable Lateral Raise,DB Lateral Raise,Machine Lateral Raise"</formula1>
    </dataValidation>
    <dataValidation type="list" allowBlank="1" showInputMessage="1" showErrorMessage="1" sqref="A16" xr:uid="{5EDDE949-735F-4877-AA6F-660D2207C5CD}">
      <formula1>"Machine Chest Press,Smith Machine Bench Press,DB Bench Press"</formula1>
    </dataValidation>
    <dataValidation type="list" allowBlank="1" showInputMessage="1" showErrorMessage="1" sqref="A15" xr:uid="{A8223F12-8646-4D82-94EA-A27750F0BEEA}">
      <formula1>"Machine Shrug,Barbell Shrug,Cable Shrug-In"</formula1>
    </dataValidation>
    <dataValidation type="list" allowBlank="1" showInputMessage="1" showErrorMessage="1" sqref="A14" xr:uid="{DB123674-5E56-4A18-95BA-C3E760D9DDB5}">
      <formula1>"Chest-Supported T-Bar Row,Chest-Supported Machine Row,Chest-Supported DB Row"</formula1>
    </dataValidation>
    <dataValidation type="list" allowBlank="1" showInputMessage="1" showErrorMessage="1" sqref="A13" xr:uid="{5AF24EEF-9867-494E-8FC7-117274983B3E}">
      <formula1>"Close-Grip Lat Pulldown,Close-Grip Pull-Up,1-Arm Cable Pulldown"</formula1>
    </dataValidation>
    <dataValidation type="list" allowBlank="1" showInputMessage="1" showErrorMessage="1" sqref="A10 A26" xr:uid="{419A3A65-B056-46C0-A68C-42D3064CBCEA}">
      <formula1>"Standing Calf Raise,Leg Press Calf Press,Donkey Calf Raise"</formula1>
    </dataValidation>
    <dataValidation type="list" allowBlank="1" showInputMessage="1" showErrorMessage="1" sqref="A9" xr:uid="{A7C8AEE9-C585-420F-BA5C-CA08E6055B51}">
      <formula1>"Pull-Up (Wide Grip),Lat Pulldown (Wide Grip),1-Arm Cable Pulldown"</formula1>
    </dataValidation>
    <dataValidation type="list" allowBlank="1" showInputMessage="1" showErrorMessage="1" sqref="A8" xr:uid="{4AB96B35-6852-4849-8DE5-23A28D3746BC}">
      <formula1>"Incline DB Y-Raise,Cable Y-Raise,Machine Lateral Raise"</formula1>
    </dataValidation>
    <dataValidation type="list" allowBlank="1" showInputMessage="1" showErrorMessage="1" sqref="A7" xr:uid="{38674949-8A09-4F0E-991D-161D3846B55C}">
      <formula1>"Barbell Incline Press,Smith Machine Incline Press,DB Incline Press"</formula1>
    </dataValidation>
    <dataValidation type="list" allowBlank="1" showInputMessage="1" showErrorMessage="1" sqref="A6" xr:uid="{9139A926-3F61-4E0B-8D36-389DFCB31DB1}">
      <formula1>"Squat (Your Choice),Barbell Back Squat,Front Squat,Pendulum Squat,Hack Squat,Belt Squat,Smith Machine Squat"</formula1>
    </dataValidation>
    <dataValidation type="list" allowBlank="1" showInputMessage="1" showErrorMessage="1" sqref="B5:B10 E5:E10 B13:B19 E13:E19 B22:B26 E22:E26 B29:B37 E29:E37" xr:uid="{6199B9F0-9DE9-4232-9688-375EDC64085C}">
      <formula1>"1,2,3"</formula1>
    </dataValidation>
    <dataValidation type="list" allowBlank="1" showInputMessage="1" showErrorMessage="1" sqref="A5" xr:uid="{DAFB568B-3A80-4F51-A72A-6AE594A38328}">
      <formula1>"Lying Leg Curl,Seated Leg Curl,Nordic Ham Curl"</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3E440-C492-4570-9DCB-06F8B600D49B}">
  <dimension ref="A1:G39"/>
  <sheetViews>
    <sheetView workbookViewId="0"/>
  </sheetViews>
  <sheetFormatPr defaultRowHeight="12.5" x14ac:dyDescent="0.25"/>
  <cols>
    <col min="1" max="1" width="40" customWidth="1"/>
    <col min="2" max="3" width="18.1796875" customWidth="1"/>
    <col min="4" max="4" width="20" customWidth="1"/>
    <col min="5" max="5" width="18.1796875" customWidth="1"/>
    <col min="6" max="6" width="20" customWidth="1"/>
    <col min="7" max="7" width="18.1796875" customWidth="1"/>
  </cols>
  <sheetData>
    <row r="1" spans="1:7" ht="18" x14ac:dyDescent="0.4">
      <c r="A1" s="92" t="s">
        <v>158</v>
      </c>
    </row>
    <row r="3" spans="1:7" ht="13" x14ac:dyDescent="0.3">
      <c r="A3" s="93" t="s">
        <v>7</v>
      </c>
      <c r="B3" s="93" t="s">
        <v>151</v>
      </c>
      <c r="C3" s="93" t="s">
        <v>152</v>
      </c>
      <c r="D3" s="93" t="s">
        <v>153</v>
      </c>
      <c r="E3" s="93" t="s">
        <v>10</v>
      </c>
      <c r="F3" s="93" t="s">
        <v>154</v>
      </c>
      <c r="G3" s="93" t="s">
        <v>155</v>
      </c>
    </row>
    <row r="4" spans="1:7" ht="13" x14ac:dyDescent="0.3">
      <c r="A4" s="94" t="s">
        <v>140</v>
      </c>
      <c r="B4" s="94"/>
      <c r="C4" s="94"/>
      <c r="D4" s="94"/>
      <c r="E4" s="94"/>
      <c r="F4" s="94"/>
      <c r="G4" s="94"/>
    </row>
    <row r="5" spans="1:7" x14ac:dyDescent="0.25">
      <c r="A5" t="s">
        <v>41</v>
      </c>
    </row>
    <row r="6" spans="1:7" x14ac:dyDescent="0.25">
      <c r="A6" t="s">
        <v>45</v>
      </c>
    </row>
    <row r="7" spans="1:7" x14ac:dyDescent="0.25">
      <c r="A7" t="s">
        <v>24</v>
      </c>
    </row>
    <row r="8" spans="1:7" x14ac:dyDescent="0.25">
      <c r="A8" t="s">
        <v>31</v>
      </c>
    </row>
    <row r="9" spans="1:7" x14ac:dyDescent="0.25">
      <c r="A9" t="s">
        <v>36</v>
      </c>
    </row>
    <row r="10" spans="1:7" x14ac:dyDescent="0.25">
      <c r="A10" t="s">
        <v>52</v>
      </c>
    </row>
    <row r="12" spans="1:7" ht="13" x14ac:dyDescent="0.3">
      <c r="A12" s="94" t="s">
        <v>142</v>
      </c>
      <c r="B12" s="94"/>
      <c r="C12" s="94"/>
      <c r="D12" s="94"/>
      <c r="E12" s="94"/>
      <c r="F12" s="94"/>
      <c r="G12" s="94"/>
    </row>
    <row r="13" spans="1:7" x14ac:dyDescent="0.25">
      <c r="A13" t="s">
        <v>56</v>
      </c>
    </row>
    <row r="14" spans="1:7" x14ac:dyDescent="0.25">
      <c r="A14" t="s">
        <v>59</v>
      </c>
    </row>
    <row r="15" spans="1:7" x14ac:dyDescent="0.25">
      <c r="A15" t="s">
        <v>63</v>
      </c>
    </row>
    <row r="16" spans="1:7" x14ac:dyDescent="0.25">
      <c r="A16" t="s">
        <v>67</v>
      </c>
    </row>
    <row r="17" spans="1:7" x14ac:dyDescent="0.25">
      <c r="A17" t="s">
        <v>71</v>
      </c>
    </row>
    <row r="18" spans="1:7" x14ac:dyDescent="0.25">
      <c r="A18" t="s">
        <v>74</v>
      </c>
    </row>
    <row r="19" spans="1:7" x14ac:dyDescent="0.25">
      <c r="A19" t="s">
        <v>78</v>
      </c>
    </row>
    <row r="21" spans="1:7" ht="13" x14ac:dyDescent="0.3">
      <c r="A21" s="94" t="s">
        <v>143</v>
      </c>
      <c r="B21" s="94"/>
      <c r="C21" s="94"/>
      <c r="D21" s="94"/>
      <c r="E21" s="94"/>
      <c r="F21" s="94"/>
      <c r="G21" s="94"/>
    </row>
    <row r="22" spans="1:7" x14ac:dyDescent="0.25">
      <c r="A22" t="s">
        <v>48</v>
      </c>
    </row>
    <row r="23" spans="1:7" x14ac:dyDescent="0.25">
      <c r="A23" t="s">
        <v>82</v>
      </c>
    </row>
    <row r="24" spans="1:7" x14ac:dyDescent="0.25">
      <c r="A24" t="s">
        <v>86</v>
      </c>
    </row>
    <row r="25" spans="1:7" x14ac:dyDescent="0.25">
      <c r="A25" t="s">
        <v>90</v>
      </c>
    </row>
    <row r="26" spans="1:7" x14ac:dyDescent="0.25">
      <c r="A26" t="s">
        <v>52</v>
      </c>
    </row>
    <row r="28" spans="1:7" ht="13" x14ac:dyDescent="0.3">
      <c r="A28" s="94" t="s">
        <v>94</v>
      </c>
      <c r="B28" s="94"/>
      <c r="C28" s="94"/>
      <c r="D28" s="94"/>
      <c r="E28" s="94"/>
      <c r="F28" s="94"/>
      <c r="G28" s="94"/>
    </row>
    <row r="29" spans="1:7" x14ac:dyDescent="0.25">
      <c r="A29" t="s">
        <v>95</v>
      </c>
    </row>
    <row r="30" spans="1:7" x14ac:dyDescent="0.25">
      <c r="A30" t="s">
        <v>99</v>
      </c>
    </row>
    <row r="31" spans="1:7" x14ac:dyDescent="0.25">
      <c r="A31" t="s">
        <v>103</v>
      </c>
    </row>
    <row r="32" spans="1:7" x14ac:dyDescent="0.25">
      <c r="A32" t="s">
        <v>107</v>
      </c>
    </row>
    <row r="33" spans="1:3" x14ac:dyDescent="0.25">
      <c r="A33" t="s">
        <v>111</v>
      </c>
    </row>
    <row r="34" spans="1:3" x14ac:dyDescent="0.25">
      <c r="A34" t="s">
        <v>114</v>
      </c>
    </row>
    <row r="35" spans="1:3" x14ac:dyDescent="0.25">
      <c r="A35" t="s">
        <v>116</v>
      </c>
    </row>
    <row r="36" spans="1:3" x14ac:dyDescent="0.25">
      <c r="A36" t="s">
        <v>34</v>
      </c>
    </row>
    <row r="37" spans="1:3" x14ac:dyDescent="0.25">
      <c r="A37" t="s">
        <v>121</v>
      </c>
    </row>
    <row r="39" spans="1:3" ht="16" thickBot="1" x14ac:dyDescent="0.4">
      <c r="A39" s="103" t="s">
        <v>230</v>
      </c>
      <c r="B39" s="104"/>
      <c r="C39" t="s">
        <v>231</v>
      </c>
    </row>
  </sheetData>
  <dataValidations count="27">
    <dataValidation type="list" allowBlank="1" showInputMessage="1" showErrorMessage="1" sqref="A37" xr:uid="{D9D9094E-E3F3-4F61-ABE8-C33420C02F12}">
      <formula1>"Dead Hang (optional)"</formula1>
    </dataValidation>
    <dataValidation type="list" allowBlank="1" showInputMessage="1" showErrorMessage="1" sqref="A36" xr:uid="{E949D559-37D7-43A1-BEE9-1917652C8317}">
      <formula1>"Machine Lateral Raise,High-Cable Lateral Raise,DB Lateral Raise"</formula1>
    </dataValidation>
    <dataValidation type="list" allowBlank="1" showInputMessage="1" showErrorMessage="1" sqref="A35" xr:uid="{B8BC9042-FE5A-4330-BEB6-471036C820FB}">
      <formula1>"Alternating DB Curl,Barbell Curl,EZ-Bar Curl"</formula1>
    </dataValidation>
    <dataValidation type="list" allowBlank="1" showInputMessage="1" showErrorMessage="1" sqref="A34" xr:uid="{94DFDCE1-6C32-4FA4-9191-9C50284F231F}">
      <formula1>"DB Wrist Extension,Cable Wrist Extension"</formula1>
    </dataValidation>
    <dataValidation type="list" allowBlank="1" showInputMessage="1" showErrorMessage="1" sqref="A33" xr:uid="{867F70A7-7FF8-4D23-81CD-6185A8CAC16B}">
      <formula1>"DB Wrist Curl,Cable Wrist Curl"</formula1>
    </dataValidation>
    <dataValidation type="list" allowBlank="1" showInputMessage="1" showErrorMessage="1" sqref="A32" xr:uid="{40893D7A-E928-4BE0-A5F7-7360DA7E1EC7}">
      <formula1>"Cable Triceps Kickback,Seated Dip Machine,Close-Grip Dip"</formula1>
    </dataValidation>
    <dataValidation type="list" allowBlank="1" showInputMessage="1" showErrorMessage="1" sqref="A31" xr:uid="{288AF09B-EE6D-4638-B68D-9E6275295F6F}">
      <formula1>"Modified Zottman Curl,DB Hammer Curl,Preacher Hammer Curl"</formula1>
    </dataValidation>
    <dataValidation type="list" allowBlank="1" showInputMessage="1" showErrorMessage="1" sqref="A30" xr:uid="{BCC2F1A5-2F05-474C-91AA-C088B8AD3C3F}">
      <formula1>"Overhead Cable Triceps Extension,Overhead DB Triceps Extension,Skull Crusher"</formula1>
    </dataValidation>
    <dataValidation type="list" allowBlank="1" showInputMessage="1" showErrorMessage="1" sqref="A29" xr:uid="{49070AC2-ACD2-4BC1-A5A7-894EF032532E}">
      <formula1>"Bayesian Cable Curl,Incline DB Curl,Standing DB Curl"</formula1>
    </dataValidation>
    <dataValidation type="list" allowBlank="1" showInputMessage="1" showErrorMessage="1" sqref="A25" xr:uid="{73073A9F-9199-4503-B57E-3DDFF691AC08}">
      <formula1>"Leg Press,Smith Machine Squat,Barbell Squat"</formula1>
    </dataValidation>
    <dataValidation type="list" allowBlank="1" showInputMessage="1" showErrorMessage="1" sqref="A24" xr:uid="{4BF7632E-7DB0-4924-8CA3-1883B8142169}">
      <formula1>"Machine Hip Thrust,Barbell Hip Thrust,45° Hyperextension"</formula1>
    </dataValidation>
    <dataValidation type="list" allowBlank="1" showInputMessage="1" showErrorMessage="1" sqref="A23" xr:uid="{29906F58-3410-4BAB-AB52-C77ADDF28B8D}">
      <formula1>"Barbell RDL,DB RDL,Seated Cable Deadlift"</formula1>
    </dataValidation>
    <dataValidation type="list" allowBlank="1" showInputMessage="1" showErrorMessage="1" sqref="A22" xr:uid="{B5F6DE58-318D-4A6B-9273-2DA691D291E6}">
      <formula1>"Leg Extension,Reverse Nordic,Sissy Squat"</formula1>
    </dataValidation>
    <dataValidation type="list" allowBlank="1" showInputMessage="1" showErrorMessage="1" sqref="A19" xr:uid="{253E16C6-F7BD-40C2-9311-2F6747DAF541}">
      <formula1>"Cable Crunch,Weighted Crunch,Machine Crunch"</formula1>
    </dataValidation>
    <dataValidation type="list" allowBlank="1" showInputMessage="1" showErrorMessage="1" sqref="A18" xr:uid="{CAB9739F-21B8-4368-972E-B880329E5EBF}">
      <formula1>"1-Arm Reverse Pec Deck,Lying Reverse DB Flye,Reverse Cable Crossover"</formula1>
    </dataValidation>
    <dataValidation type="list" allowBlank="1" showInputMessage="1" showErrorMessage="1" sqref="A17" xr:uid="{CB30CF1A-DA45-47D7-B2E2-E31FAF6F65F3}">
      <formula1>"High-Cable Lateral Raise,DB Lateral Raise,Machine Lateral Raise"</formula1>
    </dataValidation>
    <dataValidation type="list" allowBlank="1" showInputMessage="1" showErrorMessage="1" sqref="A16" xr:uid="{0CBF9463-298D-4F3F-AD93-0202785F1007}">
      <formula1>"Machine Chest Press,Smith Machine Bench Press,DB Bench Press"</formula1>
    </dataValidation>
    <dataValidation type="list" allowBlank="1" showInputMessage="1" showErrorMessage="1" sqref="A15" xr:uid="{A8C7E615-97CF-4DA8-8315-9E59A37DD773}">
      <formula1>"Machine Shrug,Barbell Shrug,Cable Shrug-In"</formula1>
    </dataValidation>
    <dataValidation type="list" allowBlank="1" showInputMessage="1" showErrorMessage="1" sqref="A14" xr:uid="{2B0939FD-9D1B-42EF-A17C-0595D8766F33}">
      <formula1>"Chest-Supported T-Bar Row,Chest-Supported Machine Row,Chest-Supported DB Row"</formula1>
    </dataValidation>
    <dataValidation type="list" allowBlank="1" showInputMessage="1" showErrorMessage="1" sqref="A13" xr:uid="{D5DC4210-7E97-43DA-B7F4-770D3EBC59F1}">
      <formula1>"Close-Grip Lat Pulldown,Close-Grip Pull-Up,1-Arm Cable Pulldown"</formula1>
    </dataValidation>
    <dataValidation type="list" allowBlank="1" showInputMessage="1" showErrorMessage="1" sqref="A10 A26" xr:uid="{D943757E-DDF3-493D-A209-77DB5C486FF0}">
      <formula1>"Standing Calf Raise,Leg Press Calf Press,Donkey Calf Raise"</formula1>
    </dataValidation>
    <dataValidation type="list" allowBlank="1" showInputMessage="1" showErrorMessage="1" sqref="A9" xr:uid="{53FF34E3-8DB0-46BD-9ABB-AE8AE80860D2}">
      <formula1>"Pull-Up (Wide Grip),Lat Pulldown (Wide Grip),1-Arm Cable Pulldown"</formula1>
    </dataValidation>
    <dataValidation type="list" allowBlank="1" showInputMessage="1" showErrorMessage="1" sqref="A8" xr:uid="{7907DEF1-494B-4E18-AB74-41806F5A122F}">
      <formula1>"Incline DB Y-Raise,Cable Y-Raise,Machine Lateral Raise"</formula1>
    </dataValidation>
    <dataValidation type="list" allowBlank="1" showInputMessage="1" showErrorMessage="1" sqref="A7" xr:uid="{95B2AE09-C263-484C-9FA9-EF7EDA4C971C}">
      <formula1>"Barbell Incline Press,Smith Machine Incline Press,DB Incline Press"</formula1>
    </dataValidation>
    <dataValidation type="list" allowBlank="1" showInputMessage="1" showErrorMessage="1" sqref="A6" xr:uid="{5015F5DA-3F0B-4EB3-A102-2C6FBC07241D}">
      <formula1>"Squat (Your Choice),Barbell Back Squat,Front Squat,Pendulum Squat,Hack Squat,Belt Squat,Smith Machine Squat"</formula1>
    </dataValidation>
    <dataValidation type="list" allowBlank="1" showInputMessage="1" showErrorMessage="1" sqref="B5:B10 E5:E10 B13:B19 E13:E19 B22:B26 E22:E26 B29:B37 E29:E37" xr:uid="{AAAB68CC-5264-44AE-B4F6-7736940D8D12}">
      <formula1>"1,2,3"</formula1>
    </dataValidation>
    <dataValidation type="list" allowBlank="1" showInputMessage="1" showErrorMessage="1" sqref="A5" xr:uid="{F21AAF7A-F4CD-4EE7-8FBE-A18907BE4D91}">
      <formula1>"Lying Leg Curl,Seated Leg Curl,Nordic Ham Curl"</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83602-B407-45BE-9A6F-1528E88EE34B}">
  <dimension ref="A1:G39"/>
  <sheetViews>
    <sheetView workbookViewId="0"/>
  </sheetViews>
  <sheetFormatPr defaultRowHeight="12.5" x14ac:dyDescent="0.25"/>
  <cols>
    <col min="1" max="1" width="40" customWidth="1"/>
    <col min="2" max="3" width="18.1796875" customWidth="1"/>
    <col min="4" max="4" width="20" customWidth="1"/>
    <col min="5" max="5" width="18.1796875" customWidth="1"/>
    <col min="6" max="6" width="20" customWidth="1"/>
    <col min="7" max="7" width="18.1796875" customWidth="1"/>
  </cols>
  <sheetData>
    <row r="1" spans="1:7" ht="18" x14ac:dyDescent="0.4">
      <c r="A1" s="92" t="s">
        <v>159</v>
      </c>
    </row>
    <row r="3" spans="1:7" ht="13" x14ac:dyDescent="0.3">
      <c r="A3" s="93" t="s">
        <v>7</v>
      </c>
      <c r="B3" s="93" t="s">
        <v>151</v>
      </c>
      <c r="C3" s="93" t="s">
        <v>152</v>
      </c>
      <c r="D3" s="93" t="s">
        <v>153</v>
      </c>
      <c r="E3" s="93" t="s">
        <v>10</v>
      </c>
      <c r="F3" s="93" t="s">
        <v>154</v>
      </c>
      <c r="G3" s="93" t="s">
        <v>155</v>
      </c>
    </row>
    <row r="4" spans="1:7" ht="13" x14ac:dyDescent="0.3">
      <c r="A4" s="94" t="s">
        <v>140</v>
      </c>
      <c r="B4" s="94"/>
      <c r="C4" s="94"/>
      <c r="D4" s="94"/>
      <c r="E4" s="94"/>
      <c r="F4" s="94"/>
      <c r="G4" s="94"/>
    </row>
    <row r="5" spans="1:7" x14ac:dyDescent="0.25">
      <c r="A5" t="s">
        <v>41</v>
      </c>
    </row>
    <row r="6" spans="1:7" x14ac:dyDescent="0.25">
      <c r="A6" t="s">
        <v>45</v>
      </c>
    </row>
    <row r="7" spans="1:7" x14ac:dyDescent="0.25">
      <c r="A7" t="s">
        <v>24</v>
      </c>
    </row>
    <row r="8" spans="1:7" x14ac:dyDescent="0.25">
      <c r="A8" t="s">
        <v>31</v>
      </c>
    </row>
    <row r="9" spans="1:7" x14ac:dyDescent="0.25">
      <c r="A9" t="s">
        <v>36</v>
      </c>
    </row>
    <row r="10" spans="1:7" x14ac:dyDescent="0.25">
      <c r="A10" t="s">
        <v>52</v>
      </c>
    </row>
    <row r="12" spans="1:7" ht="13" x14ac:dyDescent="0.3">
      <c r="A12" s="94" t="s">
        <v>142</v>
      </c>
      <c r="B12" s="94"/>
      <c r="C12" s="94"/>
      <c r="D12" s="94"/>
      <c r="E12" s="94"/>
      <c r="F12" s="94"/>
      <c r="G12" s="94"/>
    </row>
    <row r="13" spans="1:7" x14ac:dyDescent="0.25">
      <c r="A13" t="s">
        <v>56</v>
      </c>
    </row>
    <row r="14" spans="1:7" x14ac:dyDescent="0.25">
      <c r="A14" t="s">
        <v>59</v>
      </c>
    </row>
    <row r="15" spans="1:7" x14ac:dyDescent="0.25">
      <c r="A15" t="s">
        <v>63</v>
      </c>
    </row>
    <row r="16" spans="1:7" x14ac:dyDescent="0.25">
      <c r="A16" t="s">
        <v>67</v>
      </c>
    </row>
    <row r="17" spans="1:7" x14ac:dyDescent="0.25">
      <c r="A17" t="s">
        <v>71</v>
      </c>
    </row>
    <row r="18" spans="1:7" x14ac:dyDescent="0.25">
      <c r="A18" t="s">
        <v>74</v>
      </c>
    </row>
    <row r="19" spans="1:7" x14ac:dyDescent="0.25">
      <c r="A19" t="s">
        <v>78</v>
      </c>
    </row>
    <row r="21" spans="1:7" ht="13" x14ac:dyDescent="0.3">
      <c r="A21" s="94" t="s">
        <v>143</v>
      </c>
      <c r="B21" s="94"/>
      <c r="C21" s="94"/>
      <c r="D21" s="94"/>
      <c r="E21" s="94"/>
      <c r="F21" s="94"/>
      <c r="G21" s="94"/>
    </row>
    <row r="22" spans="1:7" x14ac:dyDescent="0.25">
      <c r="A22" t="s">
        <v>48</v>
      </c>
    </row>
    <row r="23" spans="1:7" x14ac:dyDescent="0.25">
      <c r="A23" t="s">
        <v>82</v>
      </c>
    </row>
    <row r="24" spans="1:7" x14ac:dyDescent="0.25">
      <c r="A24" t="s">
        <v>86</v>
      </c>
    </row>
    <row r="25" spans="1:7" x14ac:dyDescent="0.25">
      <c r="A25" t="s">
        <v>90</v>
      </c>
    </row>
    <row r="26" spans="1:7" x14ac:dyDescent="0.25">
      <c r="A26" t="s">
        <v>52</v>
      </c>
    </row>
    <row r="28" spans="1:7" ht="13" x14ac:dyDescent="0.3">
      <c r="A28" s="94" t="s">
        <v>94</v>
      </c>
      <c r="B28" s="94"/>
      <c r="C28" s="94"/>
      <c r="D28" s="94"/>
      <c r="E28" s="94"/>
      <c r="F28" s="94"/>
      <c r="G28" s="94"/>
    </row>
    <row r="29" spans="1:7" x14ac:dyDescent="0.25">
      <c r="A29" t="s">
        <v>95</v>
      </c>
    </row>
    <row r="30" spans="1:7" x14ac:dyDescent="0.25">
      <c r="A30" t="s">
        <v>99</v>
      </c>
    </row>
    <row r="31" spans="1:7" x14ac:dyDescent="0.25">
      <c r="A31" t="s">
        <v>103</v>
      </c>
    </row>
    <row r="32" spans="1:7" x14ac:dyDescent="0.25">
      <c r="A32" t="s">
        <v>107</v>
      </c>
    </row>
    <row r="33" spans="1:3" x14ac:dyDescent="0.25">
      <c r="A33" t="s">
        <v>111</v>
      </c>
    </row>
    <row r="34" spans="1:3" x14ac:dyDescent="0.25">
      <c r="A34" t="s">
        <v>114</v>
      </c>
    </row>
    <row r="35" spans="1:3" x14ac:dyDescent="0.25">
      <c r="A35" t="s">
        <v>116</v>
      </c>
    </row>
    <row r="36" spans="1:3" x14ac:dyDescent="0.25">
      <c r="A36" t="s">
        <v>34</v>
      </c>
    </row>
    <row r="37" spans="1:3" x14ac:dyDescent="0.25">
      <c r="A37" t="s">
        <v>121</v>
      </c>
    </row>
    <row r="39" spans="1:3" ht="16" thickBot="1" x14ac:dyDescent="0.4">
      <c r="A39" s="103" t="s">
        <v>230</v>
      </c>
      <c r="B39" s="104"/>
      <c r="C39" t="s">
        <v>231</v>
      </c>
    </row>
  </sheetData>
  <dataValidations count="27">
    <dataValidation type="list" allowBlank="1" showInputMessage="1" showErrorMessage="1" sqref="A37" xr:uid="{FF348406-46EC-4033-8302-84F1CD9B05C3}">
      <formula1>"Dead Hang (optional)"</formula1>
    </dataValidation>
    <dataValidation type="list" allowBlank="1" showInputMessage="1" showErrorMessage="1" sqref="A36" xr:uid="{90605A1E-98FB-4E84-B1F4-A79DCBE4A2B2}">
      <formula1>"Machine Lateral Raise,High-Cable Lateral Raise,DB Lateral Raise"</formula1>
    </dataValidation>
    <dataValidation type="list" allowBlank="1" showInputMessage="1" showErrorMessage="1" sqref="A35" xr:uid="{AD48F819-D142-4C28-821A-22E50F1671FB}">
      <formula1>"Alternating DB Curl,Barbell Curl,EZ-Bar Curl"</formula1>
    </dataValidation>
    <dataValidation type="list" allowBlank="1" showInputMessage="1" showErrorMessage="1" sqref="A34" xr:uid="{B59FE1FA-BA7E-4432-907D-C1400EA53713}">
      <formula1>"DB Wrist Extension,Cable Wrist Extension"</formula1>
    </dataValidation>
    <dataValidation type="list" allowBlank="1" showInputMessage="1" showErrorMessage="1" sqref="A33" xr:uid="{3B35DCCB-EB1A-4F60-9FD0-3D818A7A911A}">
      <formula1>"DB Wrist Curl,Cable Wrist Curl"</formula1>
    </dataValidation>
    <dataValidation type="list" allowBlank="1" showInputMessage="1" showErrorMessage="1" sqref="A32" xr:uid="{BE2A18BE-29F3-405F-BF4A-ADD4C6B6E43A}">
      <formula1>"Cable Triceps Kickback,Seated Dip Machine,Close-Grip Dip"</formula1>
    </dataValidation>
    <dataValidation type="list" allowBlank="1" showInputMessage="1" showErrorMessage="1" sqref="A31" xr:uid="{136D2DB6-F9E7-410B-AD01-44D1709B752A}">
      <formula1>"Modified Zottman Curl,DB Hammer Curl,Preacher Hammer Curl"</formula1>
    </dataValidation>
    <dataValidation type="list" allowBlank="1" showInputMessage="1" showErrorMessage="1" sqref="A30" xr:uid="{E8C03D9F-11C7-4DAD-B8A2-6CB257C082D0}">
      <formula1>"Overhead Cable Triceps Extension,Overhead DB Triceps Extension,Skull Crusher"</formula1>
    </dataValidation>
    <dataValidation type="list" allowBlank="1" showInputMessage="1" showErrorMessage="1" sqref="A29" xr:uid="{526DA34B-A977-4BDE-A7D1-255D1EFD3185}">
      <formula1>"Bayesian Cable Curl,Incline DB Curl,Standing DB Curl"</formula1>
    </dataValidation>
    <dataValidation type="list" allowBlank="1" showInputMessage="1" showErrorMessage="1" sqref="A25" xr:uid="{68B30573-C6F8-4EE4-B933-03BC474F41AA}">
      <formula1>"Leg Press,Smith Machine Squat,Barbell Squat"</formula1>
    </dataValidation>
    <dataValidation type="list" allowBlank="1" showInputMessage="1" showErrorMessage="1" sqref="A24" xr:uid="{A76D4EA3-92C2-44B2-8381-D9429066801B}">
      <formula1>"Machine Hip Thrust,Barbell Hip Thrust,45° Hyperextension"</formula1>
    </dataValidation>
    <dataValidation type="list" allowBlank="1" showInputMessage="1" showErrorMessage="1" sqref="A23" xr:uid="{62AD2B1A-B0BC-4706-AB97-2E6E9F282FC1}">
      <formula1>"Barbell RDL,DB RDL,Seated Cable Deadlift"</formula1>
    </dataValidation>
    <dataValidation type="list" allowBlank="1" showInputMessage="1" showErrorMessage="1" sqref="A22" xr:uid="{A47ADC93-105B-41B1-975B-48863A88AD95}">
      <formula1>"Leg Extension,Reverse Nordic,Sissy Squat"</formula1>
    </dataValidation>
    <dataValidation type="list" allowBlank="1" showInputMessage="1" showErrorMessage="1" sqref="A19" xr:uid="{39E06BC5-825F-4109-9FC4-98AEB1827375}">
      <formula1>"Cable Crunch,Weighted Crunch,Machine Crunch"</formula1>
    </dataValidation>
    <dataValidation type="list" allowBlank="1" showInputMessage="1" showErrorMessage="1" sqref="A18" xr:uid="{ED82347A-93F4-431E-815B-06D9AB3F76FE}">
      <formula1>"1-Arm Reverse Pec Deck,Lying Reverse DB Flye,Reverse Cable Crossover"</formula1>
    </dataValidation>
    <dataValidation type="list" allowBlank="1" showInputMessage="1" showErrorMessage="1" sqref="A17" xr:uid="{E2B8664A-C0B2-47EF-A177-E8D219BE1DF0}">
      <formula1>"High-Cable Lateral Raise,DB Lateral Raise,Machine Lateral Raise"</formula1>
    </dataValidation>
    <dataValidation type="list" allowBlank="1" showInputMessage="1" showErrorMessage="1" sqref="A16" xr:uid="{3DB4E979-CB4B-40FB-9A17-29F37053A572}">
      <formula1>"Machine Chest Press,Smith Machine Bench Press,DB Bench Press"</formula1>
    </dataValidation>
    <dataValidation type="list" allowBlank="1" showInputMessage="1" showErrorMessage="1" sqref="A15" xr:uid="{A3ACFB68-7345-46E8-B1D1-865E740D3099}">
      <formula1>"Machine Shrug,Barbell Shrug,Cable Shrug-In"</formula1>
    </dataValidation>
    <dataValidation type="list" allowBlank="1" showInputMessage="1" showErrorMessage="1" sqref="A14" xr:uid="{1250171A-B9B3-4D13-8D78-B6EF3659AC07}">
      <formula1>"Chest-Supported T-Bar Row,Chest-Supported Machine Row,Chest-Supported DB Row"</formula1>
    </dataValidation>
    <dataValidation type="list" allowBlank="1" showInputMessage="1" showErrorMessage="1" sqref="A13" xr:uid="{A214204B-D713-462A-80C5-B542DCBDDF04}">
      <formula1>"Close-Grip Lat Pulldown,Close-Grip Pull-Up,1-Arm Cable Pulldown"</formula1>
    </dataValidation>
    <dataValidation type="list" allowBlank="1" showInputMessage="1" showErrorMessage="1" sqref="A10 A26" xr:uid="{D07AA274-D7F5-4C5A-B3CA-7CE985C90165}">
      <formula1>"Standing Calf Raise,Leg Press Calf Press,Donkey Calf Raise"</formula1>
    </dataValidation>
    <dataValidation type="list" allowBlank="1" showInputMessage="1" showErrorMessage="1" sqref="A9" xr:uid="{17EC460D-1DC9-4CE7-A9FA-FFAE1853F0E5}">
      <formula1>"Pull-Up (Wide Grip),Lat Pulldown (Wide Grip),1-Arm Cable Pulldown"</formula1>
    </dataValidation>
    <dataValidation type="list" allowBlank="1" showInputMessage="1" showErrorMessage="1" sqref="A8" xr:uid="{04E8B146-FCA4-410F-9483-0472AF7592E7}">
      <formula1>"Incline DB Y-Raise,Cable Y-Raise,Machine Lateral Raise"</formula1>
    </dataValidation>
    <dataValidation type="list" allowBlank="1" showInputMessage="1" showErrorMessage="1" sqref="A7" xr:uid="{2538C0A4-339E-485F-9460-4A2960D4A31B}">
      <formula1>"Barbell Incline Press,Smith Machine Incline Press,DB Incline Press"</formula1>
    </dataValidation>
    <dataValidation type="list" allowBlank="1" showInputMessage="1" showErrorMessage="1" sqref="A6" xr:uid="{63A17A98-EBD9-4AF4-84C5-17010828A37A}">
      <formula1>"Squat (Your Choice),Barbell Back Squat,Front Squat,Pendulum Squat,Hack Squat,Belt Squat,Smith Machine Squat"</formula1>
    </dataValidation>
    <dataValidation type="list" allowBlank="1" showInputMessage="1" showErrorMessage="1" sqref="B5:B10 E5:E10 B13:B19 E13:E19 B22:B26 E22:E26 B29:B37 E29:E37" xr:uid="{F7CE67EF-56C2-4E83-894E-46161E489216}">
      <formula1>"1,2,3"</formula1>
    </dataValidation>
    <dataValidation type="list" allowBlank="1" showInputMessage="1" showErrorMessage="1" sqref="A5" xr:uid="{61D647B3-241B-45EB-8479-99E262C4EE63}">
      <formula1>"Lying Leg Curl,Seated Leg Curl,Nordic Ham Curl"</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53C00-ECE8-4F0D-B462-91DD9D9B0251}">
  <dimension ref="A1:G39"/>
  <sheetViews>
    <sheetView workbookViewId="0"/>
  </sheetViews>
  <sheetFormatPr defaultRowHeight="12.5" x14ac:dyDescent="0.25"/>
  <cols>
    <col min="1" max="1" width="40" customWidth="1"/>
    <col min="2" max="3" width="18.1796875" customWidth="1"/>
    <col min="4" max="4" width="20" customWidth="1"/>
    <col min="5" max="5" width="18.1796875" customWidth="1"/>
    <col min="6" max="6" width="20" customWidth="1"/>
    <col min="7" max="7" width="18.1796875" customWidth="1"/>
  </cols>
  <sheetData>
    <row r="1" spans="1:7" ht="18" x14ac:dyDescent="0.4">
      <c r="A1" s="92" t="s">
        <v>160</v>
      </c>
    </row>
    <row r="3" spans="1:7" ht="13" x14ac:dyDescent="0.3">
      <c r="A3" s="93" t="s">
        <v>7</v>
      </c>
      <c r="B3" s="93" t="s">
        <v>151</v>
      </c>
      <c r="C3" s="93" t="s">
        <v>152</v>
      </c>
      <c r="D3" s="93" t="s">
        <v>153</v>
      </c>
      <c r="E3" s="93" t="s">
        <v>10</v>
      </c>
      <c r="F3" s="93" t="s">
        <v>154</v>
      </c>
      <c r="G3" s="93" t="s">
        <v>155</v>
      </c>
    </row>
    <row r="4" spans="1:7" ht="13" x14ac:dyDescent="0.3">
      <c r="A4" s="94" t="s">
        <v>140</v>
      </c>
      <c r="B4" s="94"/>
      <c r="C4" s="94"/>
      <c r="D4" s="94"/>
      <c r="E4" s="94"/>
      <c r="F4" s="94"/>
      <c r="G4" s="94"/>
    </row>
    <row r="5" spans="1:7" x14ac:dyDescent="0.25">
      <c r="A5" t="s">
        <v>41</v>
      </c>
    </row>
    <row r="6" spans="1:7" x14ac:dyDescent="0.25">
      <c r="A6" t="s">
        <v>45</v>
      </c>
    </row>
    <row r="7" spans="1:7" x14ac:dyDescent="0.25">
      <c r="A7" t="s">
        <v>24</v>
      </c>
    </row>
    <row r="8" spans="1:7" x14ac:dyDescent="0.25">
      <c r="A8" t="s">
        <v>31</v>
      </c>
    </row>
    <row r="9" spans="1:7" x14ac:dyDescent="0.25">
      <c r="A9" t="s">
        <v>36</v>
      </c>
    </row>
    <row r="10" spans="1:7" x14ac:dyDescent="0.25">
      <c r="A10" t="s">
        <v>52</v>
      </c>
    </row>
    <row r="12" spans="1:7" ht="13" x14ac:dyDescent="0.3">
      <c r="A12" s="94" t="s">
        <v>142</v>
      </c>
      <c r="B12" s="94"/>
      <c r="C12" s="94"/>
      <c r="D12" s="94"/>
      <c r="E12" s="94"/>
      <c r="F12" s="94"/>
      <c r="G12" s="94"/>
    </row>
    <row r="13" spans="1:7" x14ac:dyDescent="0.25">
      <c r="A13" t="s">
        <v>56</v>
      </c>
    </row>
    <row r="14" spans="1:7" x14ac:dyDescent="0.25">
      <c r="A14" t="s">
        <v>59</v>
      </c>
    </row>
    <row r="15" spans="1:7" x14ac:dyDescent="0.25">
      <c r="A15" t="s">
        <v>63</v>
      </c>
    </row>
    <row r="16" spans="1:7" x14ac:dyDescent="0.25">
      <c r="A16" t="s">
        <v>67</v>
      </c>
    </row>
    <row r="17" spans="1:7" x14ac:dyDescent="0.25">
      <c r="A17" t="s">
        <v>71</v>
      </c>
    </row>
    <row r="18" spans="1:7" x14ac:dyDescent="0.25">
      <c r="A18" t="s">
        <v>74</v>
      </c>
    </row>
    <row r="19" spans="1:7" x14ac:dyDescent="0.25">
      <c r="A19" t="s">
        <v>78</v>
      </c>
    </row>
    <row r="21" spans="1:7" ht="13" x14ac:dyDescent="0.3">
      <c r="A21" s="94" t="s">
        <v>143</v>
      </c>
      <c r="B21" s="94"/>
      <c r="C21" s="94"/>
      <c r="D21" s="94"/>
      <c r="E21" s="94"/>
      <c r="F21" s="94"/>
      <c r="G21" s="94"/>
    </row>
    <row r="22" spans="1:7" x14ac:dyDescent="0.25">
      <c r="A22" t="s">
        <v>48</v>
      </c>
    </row>
    <row r="23" spans="1:7" x14ac:dyDescent="0.25">
      <c r="A23" t="s">
        <v>82</v>
      </c>
    </row>
    <row r="24" spans="1:7" x14ac:dyDescent="0.25">
      <c r="A24" t="s">
        <v>86</v>
      </c>
    </row>
    <row r="25" spans="1:7" x14ac:dyDescent="0.25">
      <c r="A25" t="s">
        <v>90</v>
      </c>
    </row>
    <row r="26" spans="1:7" x14ac:dyDescent="0.25">
      <c r="A26" t="s">
        <v>52</v>
      </c>
    </row>
    <row r="28" spans="1:7" ht="13" x14ac:dyDescent="0.3">
      <c r="A28" s="94" t="s">
        <v>94</v>
      </c>
      <c r="B28" s="94"/>
      <c r="C28" s="94"/>
      <c r="D28" s="94"/>
      <c r="E28" s="94"/>
      <c r="F28" s="94"/>
      <c r="G28" s="94"/>
    </row>
    <row r="29" spans="1:7" x14ac:dyDescent="0.25">
      <c r="A29" t="s">
        <v>95</v>
      </c>
    </row>
    <row r="30" spans="1:7" x14ac:dyDescent="0.25">
      <c r="A30" t="s">
        <v>99</v>
      </c>
    </row>
    <row r="31" spans="1:7" x14ac:dyDescent="0.25">
      <c r="A31" t="s">
        <v>103</v>
      </c>
    </row>
    <row r="32" spans="1:7" x14ac:dyDescent="0.25">
      <c r="A32" t="s">
        <v>107</v>
      </c>
    </row>
    <row r="33" spans="1:3" x14ac:dyDescent="0.25">
      <c r="A33" t="s">
        <v>111</v>
      </c>
    </row>
    <row r="34" spans="1:3" x14ac:dyDescent="0.25">
      <c r="A34" t="s">
        <v>114</v>
      </c>
    </row>
    <row r="35" spans="1:3" x14ac:dyDescent="0.25">
      <c r="A35" t="s">
        <v>116</v>
      </c>
    </row>
    <row r="36" spans="1:3" x14ac:dyDescent="0.25">
      <c r="A36" t="s">
        <v>34</v>
      </c>
    </row>
    <row r="37" spans="1:3" x14ac:dyDescent="0.25">
      <c r="A37" t="s">
        <v>121</v>
      </c>
    </row>
    <row r="39" spans="1:3" ht="16" thickBot="1" x14ac:dyDescent="0.4">
      <c r="A39" s="103" t="s">
        <v>230</v>
      </c>
      <c r="B39" s="104"/>
      <c r="C39" t="s">
        <v>231</v>
      </c>
    </row>
  </sheetData>
  <dataValidations count="27">
    <dataValidation type="list" allowBlank="1" showInputMessage="1" showErrorMessage="1" sqref="A37" xr:uid="{54C7AA72-7A6B-42B5-BA6E-42544F19F87B}">
      <formula1>"Dead Hang (optional)"</formula1>
    </dataValidation>
    <dataValidation type="list" allowBlank="1" showInputMessage="1" showErrorMessage="1" sqref="A36" xr:uid="{4A6DD16B-7F53-4C97-9AFE-5C710AAF1FEE}">
      <formula1>"Machine Lateral Raise,High-Cable Lateral Raise,DB Lateral Raise"</formula1>
    </dataValidation>
    <dataValidation type="list" allowBlank="1" showInputMessage="1" showErrorMessage="1" sqref="A35" xr:uid="{1096772E-2A29-4ABF-AE76-D6576D925972}">
      <formula1>"Alternating DB Curl,Barbell Curl,EZ-Bar Curl"</formula1>
    </dataValidation>
    <dataValidation type="list" allowBlank="1" showInputMessage="1" showErrorMessage="1" sqref="A34" xr:uid="{7110CFFD-1FCB-4E95-9D66-AC163EFB16BE}">
      <formula1>"DB Wrist Extension,Cable Wrist Extension"</formula1>
    </dataValidation>
    <dataValidation type="list" allowBlank="1" showInputMessage="1" showErrorMessage="1" sqref="A33" xr:uid="{BDEEEC61-D7D2-4F4D-B643-4571C42A6770}">
      <formula1>"DB Wrist Curl,Cable Wrist Curl"</formula1>
    </dataValidation>
    <dataValidation type="list" allowBlank="1" showInputMessage="1" showErrorMessage="1" sqref="A32" xr:uid="{4FC6B37B-F0CF-4FE5-8FF3-0A8CB2EC14A4}">
      <formula1>"Cable Triceps Kickback,Seated Dip Machine,Close-Grip Dip"</formula1>
    </dataValidation>
    <dataValidation type="list" allowBlank="1" showInputMessage="1" showErrorMessage="1" sqref="A31" xr:uid="{2B5FD788-F508-4DF3-B30F-2938718F4F42}">
      <formula1>"Modified Zottman Curl,DB Hammer Curl,Preacher Hammer Curl"</formula1>
    </dataValidation>
    <dataValidation type="list" allowBlank="1" showInputMessage="1" showErrorMessage="1" sqref="A30" xr:uid="{0E5BAF9E-9EA7-43EF-BBEC-E3F44CCE62D1}">
      <formula1>"Overhead Cable Triceps Extension,Overhead DB Triceps Extension,Skull Crusher"</formula1>
    </dataValidation>
    <dataValidation type="list" allowBlank="1" showInputMessage="1" showErrorMessage="1" sqref="A29" xr:uid="{815487F2-ED65-41DA-B3F2-6EE999089F01}">
      <formula1>"Bayesian Cable Curl,Incline DB Curl,Standing DB Curl"</formula1>
    </dataValidation>
    <dataValidation type="list" allowBlank="1" showInputMessage="1" showErrorMessage="1" sqref="A25" xr:uid="{5451B4DA-6028-4C7D-9656-4C4044022B82}">
      <formula1>"Leg Press,Smith Machine Squat,Barbell Squat"</formula1>
    </dataValidation>
    <dataValidation type="list" allowBlank="1" showInputMessage="1" showErrorMessage="1" sqref="A24" xr:uid="{D5DCA812-EBE6-4D2F-948C-29557603AFBF}">
      <formula1>"Machine Hip Thrust,Barbell Hip Thrust,45° Hyperextension"</formula1>
    </dataValidation>
    <dataValidation type="list" allowBlank="1" showInputMessage="1" showErrorMessage="1" sqref="A23" xr:uid="{A33AA261-50B7-43AA-A51C-DF10EB147564}">
      <formula1>"Barbell RDL,DB RDL,Seated Cable Deadlift"</formula1>
    </dataValidation>
    <dataValidation type="list" allowBlank="1" showInputMessage="1" showErrorMessage="1" sqref="A22" xr:uid="{6DC7634C-FEFE-44FF-AAD3-A311E49EFD7D}">
      <formula1>"Leg Extension,Reverse Nordic,Sissy Squat"</formula1>
    </dataValidation>
    <dataValidation type="list" allowBlank="1" showInputMessage="1" showErrorMessage="1" sqref="A19" xr:uid="{98334E22-8B75-4A37-83C7-B459E905D620}">
      <formula1>"Cable Crunch,Weighted Crunch,Machine Crunch"</formula1>
    </dataValidation>
    <dataValidation type="list" allowBlank="1" showInputMessage="1" showErrorMessage="1" sqref="A18" xr:uid="{D14A1122-57D9-476F-B377-242AA5628314}">
      <formula1>"1-Arm Reverse Pec Deck,Lying Reverse DB Flye,Reverse Cable Crossover"</formula1>
    </dataValidation>
    <dataValidation type="list" allowBlank="1" showInputMessage="1" showErrorMessage="1" sqref="A17" xr:uid="{380535B7-20C1-40B1-B507-E8BEB5076605}">
      <formula1>"High-Cable Lateral Raise,DB Lateral Raise,Machine Lateral Raise"</formula1>
    </dataValidation>
    <dataValidation type="list" allowBlank="1" showInputMessage="1" showErrorMessage="1" sqref="A16" xr:uid="{ACAF82A2-2C4E-4AC7-89B2-956630B56463}">
      <formula1>"Machine Chest Press,Smith Machine Bench Press,DB Bench Press"</formula1>
    </dataValidation>
    <dataValidation type="list" allowBlank="1" showInputMessage="1" showErrorMessage="1" sqref="A15" xr:uid="{5553AD2B-BC44-4D23-B955-C654E8D0B3D3}">
      <formula1>"Machine Shrug,Barbell Shrug,Cable Shrug-In"</formula1>
    </dataValidation>
    <dataValidation type="list" allowBlank="1" showInputMessage="1" showErrorMessage="1" sqref="A14" xr:uid="{B58C9B8F-507D-4FB9-B3D1-E4ED66D65A8A}">
      <formula1>"Chest-Supported T-Bar Row,Chest-Supported Machine Row,Chest-Supported DB Row"</formula1>
    </dataValidation>
    <dataValidation type="list" allowBlank="1" showInputMessage="1" showErrorMessage="1" sqref="A13" xr:uid="{1CDFE6E2-7816-42BE-B10F-810FBFEBFD96}">
      <formula1>"Close-Grip Lat Pulldown,Close-Grip Pull-Up,1-Arm Cable Pulldown"</formula1>
    </dataValidation>
    <dataValidation type="list" allowBlank="1" showInputMessage="1" showErrorMessage="1" sqref="A10 A26" xr:uid="{DF4C5B46-5BFE-44F7-92FB-9C5E820A8DC3}">
      <formula1>"Standing Calf Raise,Leg Press Calf Press,Donkey Calf Raise"</formula1>
    </dataValidation>
    <dataValidation type="list" allowBlank="1" showInputMessage="1" showErrorMessage="1" sqref="A9" xr:uid="{2F02402C-CF88-493F-95A5-4F1DB9F44029}">
      <formula1>"Pull-Up (Wide Grip),Lat Pulldown (Wide Grip),1-Arm Cable Pulldown"</formula1>
    </dataValidation>
    <dataValidation type="list" allowBlank="1" showInputMessage="1" showErrorMessage="1" sqref="A8" xr:uid="{A40E8969-6C24-4225-BA56-0F360CE10C19}">
      <formula1>"Incline DB Y-Raise,Cable Y-Raise,Machine Lateral Raise"</formula1>
    </dataValidation>
    <dataValidation type="list" allowBlank="1" showInputMessage="1" showErrorMessage="1" sqref="A7" xr:uid="{1E252B3B-3FD1-4214-AA1D-E7507689C720}">
      <formula1>"Barbell Incline Press,Smith Machine Incline Press,DB Incline Press"</formula1>
    </dataValidation>
    <dataValidation type="list" allowBlank="1" showInputMessage="1" showErrorMessage="1" sqref="A6" xr:uid="{2AF1CD92-6B5B-44E6-A75B-01FB68AACA21}">
      <formula1>"Squat (Your Choice),Barbell Back Squat,Front Squat,Pendulum Squat,Hack Squat,Belt Squat,Smith Machine Squat"</formula1>
    </dataValidation>
    <dataValidation type="list" allowBlank="1" showInputMessage="1" showErrorMessage="1" sqref="B5:B10 E5:E10 B13:B19 E13:E19 B22:B26 E22:E26 B29:B37 E29:E37" xr:uid="{E9EFAE88-0781-4C1E-B237-096AD5B4243D}">
      <formula1>"1,2,3"</formula1>
    </dataValidation>
    <dataValidation type="list" allowBlank="1" showInputMessage="1" showErrorMessage="1" sqref="A5" xr:uid="{8CC5D661-0C64-43AA-B016-80508671FD38}">
      <formula1>"Lying Leg Curl,Seated Leg Curl,Nordic Ham Curl"</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900FE-8A0C-426F-801F-9D719D827EDD}">
  <dimension ref="A1:G39"/>
  <sheetViews>
    <sheetView workbookViewId="0"/>
  </sheetViews>
  <sheetFormatPr defaultRowHeight="12.5" x14ac:dyDescent="0.25"/>
  <cols>
    <col min="1" max="1" width="40" customWidth="1"/>
    <col min="2" max="3" width="18.1796875" customWidth="1"/>
    <col min="4" max="4" width="20" customWidth="1"/>
    <col min="5" max="5" width="18.1796875" customWidth="1"/>
    <col min="6" max="6" width="20" customWidth="1"/>
    <col min="7" max="7" width="18.1796875" customWidth="1"/>
  </cols>
  <sheetData>
    <row r="1" spans="1:7" ht="18" x14ac:dyDescent="0.4">
      <c r="A1" s="92" t="s">
        <v>161</v>
      </c>
    </row>
    <row r="3" spans="1:7" ht="13" x14ac:dyDescent="0.3">
      <c r="A3" s="93" t="s">
        <v>7</v>
      </c>
      <c r="B3" s="93" t="s">
        <v>151</v>
      </c>
      <c r="C3" s="93" t="s">
        <v>152</v>
      </c>
      <c r="D3" s="93" t="s">
        <v>153</v>
      </c>
      <c r="E3" s="93" t="s">
        <v>10</v>
      </c>
      <c r="F3" s="93" t="s">
        <v>154</v>
      </c>
      <c r="G3" s="93" t="s">
        <v>155</v>
      </c>
    </row>
    <row r="4" spans="1:7" ht="13" x14ac:dyDescent="0.3">
      <c r="A4" s="94" t="s">
        <v>140</v>
      </c>
      <c r="B4" s="94"/>
      <c r="C4" s="94"/>
      <c r="D4" s="94"/>
      <c r="E4" s="94"/>
      <c r="F4" s="94"/>
      <c r="G4" s="94"/>
    </row>
    <row r="5" spans="1:7" x14ac:dyDescent="0.25">
      <c r="A5" t="s">
        <v>41</v>
      </c>
    </row>
    <row r="6" spans="1:7" x14ac:dyDescent="0.25">
      <c r="A6" t="s">
        <v>45</v>
      </c>
    </row>
    <row r="7" spans="1:7" x14ac:dyDescent="0.25">
      <c r="A7" t="s">
        <v>24</v>
      </c>
    </row>
    <row r="8" spans="1:7" x14ac:dyDescent="0.25">
      <c r="A8" t="s">
        <v>31</v>
      </c>
    </row>
    <row r="9" spans="1:7" x14ac:dyDescent="0.25">
      <c r="A9" t="s">
        <v>36</v>
      </c>
    </row>
    <row r="10" spans="1:7" x14ac:dyDescent="0.25">
      <c r="A10" t="s">
        <v>52</v>
      </c>
    </row>
    <row r="12" spans="1:7" ht="13" x14ac:dyDescent="0.3">
      <c r="A12" s="94" t="s">
        <v>142</v>
      </c>
      <c r="B12" s="94"/>
      <c r="C12" s="94"/>
      <c r="D12" s="94"/>
      <c r="E12" s="94"/>
      <c r="F12" s="94"/>
      <c r="G12" s="94"/>
    </row>
    <row r="13" spans="1:7" x14ac:dyDescent="0.25">
      <c r="A13" t="s">
        <v>56</v>
      </c>
    </row>
    <row r="14" spans="1:7" x14ac:dyDescent="0.25">
      <c r="A14" t="s">
        <v>59</v>
      </c>
    </row>
    <row r="15" spans="1:7" x14ac:dyDescent="0.25">
      <c r="A15" t="s">
        <v>63</v>
      </c>
    </row>
    <row r="16" spans="1:7" x14ac:dyDescent="0.25">
      <c r="A16" t="s">
        <v>67</v>
      </c>
    </row>
    <row r="17" spans="1:7" x14ac:dyDescent="0.25">
      <c r="A17" t="s">
        <v>71</v>
      </c>
    </row>
    <row r="18" spans="1:7" x14ac:dyDescent="0.25">
      <c r="A18" t="s">
        <v>74</v>
      </c>
    </row>
    <row r="19" spans="1:7" x14ac:dyDescent="0.25">
      <c r="A19" t="s">
        <v>78</v>
      </c>
    </row>
    <row r="21" spans="1:7" ht="13" x14ac:dyDescent="0.3">
      <c r="A21" s="94" t="s">
        <v>143</v>
      </c>
      <c r="B21" s="94"/>
      <c r="C21" s="94"/>
      <c r="D21" s="94"/>
      <c r="E21" s="94"/>
      <c r="F21" s="94"/>
      <c r="G21" s="94"/>
    </row>
    <row r="22" spans="1:7" x14ac:dyDescent="0.25">
      <c r="A22" t="s">
        <v>48</v>
      </c>
    </row>
    <row r="23" spans="1:7" x14ac:dyDescent="0.25">
      <c r="A23" t="s">
        <v>82</v>
      </c>
    </row>
    <row r="24" spans="1:7" x14ac:dyDescent="0.25">
      <c r="A24" t="s">
        <v>86</v>
      </c>
    </row>
    <row r="25" spans="1:7" x14ac:dyDescent="0.25">
      <c r="A25" t="s">
        <v>90</v>
      </c>
    </row>
    <row r="26" spans="1:7" x14ac:dyDescent="0.25">
      <c r="A26" t="s">
        <v>52</v>
      </c>
    </row>
    <row r="28" spans="1:7" ht="13" x14ac:dyDescent="0.3">
      <c r="A28" s="94" t="s">
        <v>94</v>
      </c>
      <c r="B28" s="94"/>
      <c r="C28" s="94"/>
      <c r="D28" s="94"/>
      <c r="E28" s="94"/>
      <c r="F28" s="94"/>
      <c r="G28" s="94"/>
    </row>
    <row r="29" spans="1:7" x14ac:dyDescent="0.25">
      <c r="A29" t="s">
        <v>95</v>
      </c>
    </row>
    <row r="30" spans="1:7" x14ac:dyDescent="0.25">
      <c r="A30" t="s">
        <v>99</v>
      </c>
    </row>
    <row r="31" spans="1:7" x14ac:dyDescent="0.25">
      <c r="A31" t="s">
        <v>103</v>
      </c>
    </row>
    <row r="32" spans="1:7" x14ac:dyDescent="0.25">
      <c r="A32" t="s">
        <v>107</v>
      </c>
    </row>
    <row r="33" spans="1:3" x14ac:dyDescent="0.25">
      <c r="A33" t="s">
        <v>111</v>
      </c>
    </row>
    <row r="34" spans="1:3" x14ac:dyDescent="0.25">
      <c r="A34" t="s">
        <v>114</v>
      </c>
    </row>
    <row r="35" spans="1:3" x14ac:dyDescent="0.25">
      <c r="A35" t="s">
        <v>116</v>
      </c>
    </row>
    <row r="36" spans="1:3" x14ac:dyDescent="0.25">
      <c r="A36" t="s">
        <v>34</v>
      </c>
    </row>
    <row r="37" spans="1:3" x14ac:dyDescent="0.25">
      <c r="A37" t="s">
        <v>121</v>
      </c>
    </row>
    <row r="39" spans="1:3" ht="16" thickBot="1" x14ac:dyDescent="0.4">
      <c r="A39" s="103" t="s">
        <v>230</v>
      </c>
      <c r="B39" s="104"/>
      <c r="C39" t="s">
        <v>231</v>
      </c>
    </row>
  </sheetData>
  <dataValidations count="27">
    <dataValidation type="list" allowBlank="1" showInputMessage="1" showErrorMessage="1" sqref="A37" xr:uid="{DB758851-784B-4F9A-A12A-929FCE725798}">
      <formula1>"Dead Hang (optional)"</formula1>
    </dataValidation>
    <dataValidation type="list" allowBlank="1" showInputMessage="1" showErrorMessage="1" sqref="A36" xr:uid="{443045CA-FA6C-45FD-8A62-E0C5984A501E}">
      <formula1>"Machine Lateral Raise,High-Cable Lateral Raise,DB Lateral Raise"</formula1>
    </dataValidation>
    <dataValidation type="list" allowBlank="1" showInputMessage="1" showErrorMessage="1" sqref="A35" xr:uid="{5F0082EA-9FE0-496F-8D3D-4CB648BFF98B}">
      <formula1>"Alternating DB Curl,Barbell Curl,EZ-Bar Curl"</formula1>
    </dataValidation>
    <dataValidation type="list" allowBlank="1" showInputMessage="1" showErrorMessage="1" sqref="A34" xr:uid="{75F65C6C-840E-4498-91F2-29CF665FB6AD}">
      <formula1>"DB Wrist Extension,Cable Wrist Extension"</formula1>
    </dataValidation>
    <dataValidation type="list" allowBlank="1" showInputMessage="1" showErrorMessage="1" sqref="A33" xr:uid="{B9CA2150-5658-47EE-AF57-B898E33C4962}">
      <formula1>"DB Wrist Curl,Cable Wrist Curl"</formula1>
    </dataValidation>
    <dataValidation type="list" allowBlank="1" showInputMessage="1" showErrorMessage="1" sqref="A32" xr:uid="{67D1933A-0E1A-46DA-A142-227E1F23FE61}">
      <formula1>"Cable Triceps Kickback,Seated Dip Machine,Close-Grip Dip"</formula1>
    </dataValidation>
    <dataValidation type="list" allowBlank="1" showInputMessage="1" showErrorMessage="1" sqref="A31" xr:uid="{7081D672-A90B-417F-8851-4DCE7E7BCC95}">
      <formula1>"Modified Zottman Curl,DB Hammer Curl,Preacher Hammer Curl"</formula1>
    </dataValidation>
    <dataValidation type="list" allowBlank="1" showInputMessage="1" showErrorMessage="1" sqref="A30" xr:uid="{0E5BA170-4494-43CF-B418-FCDC4664E72D}">
      <formula1>"Overhead Cable Triceps Extension,Overhead DB Triceps Extension,Skull Crusher"</formula1>
    </dataValidation>
    <dataValidation type="list" allowBlank="1" showInputMessage="1" showErrorMessage="1" sqref="A29" xr:uid="{0418F1D4-F99A-4474-A67B-5E394D76BAE9}">
      <formula1>"Bayesian Cable Curl,Incline DB Curl,Standing DB Curl"</formula1>
    </dataValidation>
    <dataValidation type="list" allowBlank="1" showInputMessage="1" showErrorMessage="1" sqref="A25" xr:uid="{0674CBAB-B711-4D55-8440-2AAC524EC71A}">
      <formula1>"Leg Press,Smith Machine Squat,Barbell Squat"</formula1>
    </dataValidation>
    <dataValidation type="list" allowBlank="1" showInputMessage="1" showErrorMessage="1" sqref="A24" xr:uid="{740B37E7-4E58-4C42-BD7E-7C34489823F8}">
      <formula1>"Machine Hip Thrust,Barbell Hip Thrust,45° Hyperextension"</formula1>
    </dataValidation>
    <dataValidation type="list" allowBlank="1" showInputMessage="1" showErrorMessage="1" sqref="A23" xr:uid="{F72912CD-0D03-49F6-98A2-F54444D2025F}">
      <formula1>"Barbell RDL,DB RDL,Seated Cable Deadlift"</formula1>
    </dataValidation>
    <dataValidation type="list" allowBlank="1" showInputMessage="1" showErrorMessage="1" sqref="A22" xr:uid="{11523F5A-61CC-4A89-BFA8-23C1E8E8E35B}">
      <formula1>"Leg Extension,Reverse Nordic,Sissy Squat"</formula1>
    </dataValidation>
    <dataValidation type="list" allowBlank="1" showInputMessage="1" showErrorMessage="1" sqref="A19" xr:uid="{2388CF82-9CB9-497C-9CC5-5861277BBA51}">
      <formula1>"Cable Crunch,Weighted Crunch,Machine Crunch"</formula1>
    </dataValidation>
    <dataValidation type="list" allowBlank="1" showInputMessage="1" showErrorMessage="1" sqref="A18" xr:uid="{232D1E20-2388-4B50-AB4B-9F2FEBAE0172}">
      <formula1>"1-Arm Reverse Pec Deck,Lying Reverse DB Flye,Reverse Cable Crossover"</formula1>
    </dataValidation>
    <dataValidation type="list" allowBlank="1" showInputMessage="1" showErrorMessage="1" sqref="A17" xr:uid="{027D1F24-78C7-4679-B6B1-3757978802D3}">
      <formula1>"High-Cable Lateral Raise,DB Lateral Raise,Machine Lateral Raise"</formula1>
    </dataValidation>
    <dataValidation type="list" allowBlank="1" showInputMessage="1" showErrorMessage="1" sqref="A16" xr:uid="{4BA57915-90C0-4332-AAE9-821BC9F59824}">
      <formula1>"Machine Chest Press,Smith Machine Bench Press,DB Bench Press"</formula1>
    </dataValidation>
    <dataValidation type="list" allowBlank="1" showInputMessage="1" showErrorMessage="1" sqref="A15" xr:uid="{5351137D-B73E-4EC7-9059-BFEA2A634692}">
      <formula1>"Machine Shrug,Barbell Shrug,Cable Shrug-In"</formula1>
    </dataValidation>
    <dataValidation type="list" allowBlank="1" showInputMessage="1" showErrorMessage="1" sqref="A14" xr:uid="{3248278C-3E24-4E08-BCC2-4A2671415494}">
      <formula1>"Chest-Supported T-Bar Row,Chest-Supported Machine Row,Chest-Supported DB Row"</formula1>
    </dataValidation>
    <dataValidation type="list" allowBlank="1" showInputMessage="1" showErrorMessage="1" sqref="A13" xr:uid="{9D48DE64-D932-4446-9FC9-1E50D1200DB7}">
      <formula1>"Close-Grip Lat Pulldown,Close-Grip Pull-Up,1-Arm Cable Pulldown"</formula1>
    </dataValidation>
    <dataValidation type="list" allowBlank="1" showInputMessage="1" showErrorMessage="1" sqref="A10 A26" xr:uid="{BB521286-EAA4-49DA-8A09-72CD3DBCFD45}">
      <formula1>"Standing Calf Raise,Leg Press Calf Press,Donkey Calf Raise"</formula1>
    </dataValidation>
    <dataValidation type="list" allowBlank="1" showInputMessage="1" showErrorMessage="1" sqref="A9" xr:uid="{01224A03-784E-47D0-A985-4CF7A72AFEFB}">
      <formula1>"Pull-Up (Wide Grip),Lat Pulldown (Wide Grip),1-Arm Cable Pulldown"</formula1>
    </dataValidation>
    <dataValidation type="list" allowBlank="1" showInputMessage="1" showErrorMessage="1" sqref="A8" xr:uid="{38F819AC-D151-4FC1-AFE7-8DE742FE3AAD}">
      <formula1>"Incline DB Y-Raise,Cable Y-Raise,Machine Lateral Raise"</formula1>
    </dataValidation>
    <dataValidation type="list" allowBlank="1" showInputMessage="1" showErrorMessage="1" sqref="A7" xr:uid="{D813FA56-E019-470F-9C25-EFCF09DDDDB6}">
      <formula1>"Barbell Incline Press,Smith Machine Incline Press,DB Incline Press"</formula1>
    </dataValidation>
    <dataValidation type="list" allowBlank="1" showInputMessage="1" showErrorMessage="1" sqref="A6" xr:uid="{1546B118-CF22-49D7-89B9-89636B663128}">
      <formula1>"Squat (Your Choice),Barbell Back Squat,Front Squat,Pendulum Squat,Hack Squat,Belt Squat,Smith Machine Squat"</formula1>
    </dataValidation>
    <dataValidation type="list" allowBlank="1" showInputMessage="1" showErrorMessage="1" sqref="B5:B10 E5:E10 B13:B19 E13:E19 B22:B26 E22:E26 B29:B37 E29:E37" xr:uid="{C3D9E88C-3A1D-4084-B138-D6EA0EBDA266}">
      <formula1>"1,2,3"</formula1>
    </dataValidation>
    <dataValidation type="list" allowBlank="1" showInputMessage="1" showErrorMessage="1" sqref="A5" xr:uid="{D380BC85-5F0C-4099-A5C2-262136DB0EB8}">
      <formula1>"Lying Leg Curl,Seated Leg Curl,Nordic Ham Curl"</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533DF-8EDB-45B4-8205-F363FDA9005B}">
  <dimension ref="A1:G39"/>
  <sheetViews>
    <sheetView workbookViewId="0"/>
  </sheetViews>
  <sheetFormatPr defaultRowHeight="12.5" x14ac:dyDescent="0.25"/>
  <cols>
    <col min="1" max="1" width="40" customWidth="1"/>
    <col min="2" max="3" width="18.1796875" customWidth="1"/>
    <col min="4" max="4" width="20" customWidth="1"/>
    <col min="5" max="5" width="18.1796875" customWidth="1"/>
    <col min="6" max="6" width="20" customWidth="1"/>
    <col min="7" max="7" width="18.1796875" customWidth="1"/>
  </cols>
  <sheetData>
    <row r="1" spans="1:7" ht="18" x14ac:dyDescent="0.4">
      <c r="A1" s="92" t="s">
        <v>162</v>
      </c>
    </row>
    <row r="3" spans="1:7" ht="13" x14ac:dyDescent="0.3">
      <c r="A3" s="93" t="s">
        <v>7</v>
      </c>
      <c r="B3" s="93" t="s">
        <v>151</v>
      </c>
      <c r="C3" s="93" t="s">
        <v>152</v>
      </c>
      <c r="D3" s="93" t="s">
        <v>153</v>
      </c>
      <c r="E3" s="93" t="s">
        <v>10</v>
      </c>
      <c r="F3" s="93" t="s">
        <v>154</v>
      </c>
      <c r="G3" s="93" t="s">
        <v>155</v>
      </c>
    </row>
    <row r="4" spans="1:7" ht="13" x14ac:dyDescent="0.3">
      <c r="A4" s="94" t="s">
        <v>140</v>
      </c>
      <c r="B4" s="94"/>
      <c r="C4" s="94"/>
      <c r="D4" s="94"/>
      <c r="E4" s="94"/>
      <c r="F4" s="94"/>
      <c r="G4" s="94"/>
    </row>
    <row r="5" spans="1:7" x14ac:dyDescent="0.25">
      <c r="A5" t="s">
        <v>41</v>
      </c>
    </row>
    <row r="6" spans="1:7" x14ac:dyDescent="0.25">
      <c r="A6" t="s">
        <v>45</v>
      </c>
    </row>
    <row r="7" spans="1:7" x14ac:dyDescent="0.25">
      <c r="A7" t="s">
        <v>24</v>
      </c>
    </row>
    <row r="8" spans="1:7" x14ac:dyDescent="0.25">
      <c r="A8" t="s">
        <v>31</v>
      </c>
    </row>
    <row r="9" spans="1:7" x14ac:dyDescent="0.25">
      <c r="A9" t="s">
        <v>36</v>
      </c>
    </row>
    <row r="10" spans="1:7" x14ac:dyDescent="0.25">
      <c r="A10" t="s">
        <v>52</v>
      </c>
    </row>
    <row r="12" spans="1:7" ht="13" x14ac:dyDescent="0.3">
      <c r="A12" s="94" t="s">
        <v>142</v>
      </c>
      <c r="B12" s="94"/>
      <c r="C12" s="94"/>
      <c r="D12" s="94"/>
      <c r="E12" s="94"/>
      <c r="F12" s="94"/>
      <c r="G12" s="94"/>
    </row>
    <row r="13" spans="1:7" x14ac:dyDescent="0.25">
      <c r="A13" t="s">
        <v>56</v>
      </c>
    </row>
    <row r="14" spans="1:7" x14ac:dyDescent="0.25">
      <c r="A14" t="s">
        <v>59</v>
      </c>
    </row>
    <row r="15" spans="1:7" x14ac:dyDescent="0.25">
      <c r="A15" t="s">
        <v>63</v>
      </c>
    </row>
    <row r="16" spans="1:7" x14ac:dyDescent="0.25">
      <c r="A16" t="s">
        <v>67</v>
      </c>
    </row>
    <row r="17" spans="1:7" x14ac:dyDescent="0.25">
      <c r="A17" t="s">
        <v>71</v>
      </c>
    </row>
    <row r="18" spans="1:7" x14ac:dyDescent="0.25">
      <c r="A18" t="s">
        <v>74</v>
      </c>
    </row>
    <row r="19" spans="1:7" x14ac:dyDescent="0.25">
      <c r="A19" t="s">
        <v>78</v>
      </c>
    </row>
    <row r="21" spans="1:7" ht="13" x14ac:dyDescent="0.3">
      <c r="A21" s="94" t="s">
        <v>143</v>
      </c>
      <c r="B21" s="94"/>
      <c r="C21" s="94"/>
      <c r="D21" s="94"/>
      <c r="E21" s="94"/>
      <c r="F21" s="94"/>
      <c r="G21" s="94"/>
    </row>
    <row r="22" spans="1:7" x14ac:dyDescent="0.25">
      <c r="A22" t="s">
        <v>48</v>
      </c>
    </row>
    <row r="23" spans="1:7" x14ac:dyDescent="0.25">
      <c r="A23" t="s">
        <v>82</v>
      </c>
    </row>
    <row r="24" spans="1:7" x14ac:dyDescent="0.25">
      <c r="A24" t="s">
        <v>86</v>
      </c>
    </row>
    <row r="25" spans="1:7" x14ac:dyDescent="0.25">
      <c r="A25" t="s">
        <v>90</v>
      </c>
    </row>
    <row r="26" spans="1:7" x14ac:dyDescent="0.25">
      <c r="A26" t="s">
        <v>52</v>
      </c>
    </row>
    <row r="28" spans="1:7" ht="13" x14ac:dyDescent="0.3">
      <c r="A28" s="94" t="s">
        <v>94</v>
      </c>
      <c r="B28" s="94"/>
      <c r="C28" s="94"/>
      <c r="D28" s="94"/>
      <c r="E28" s="94"/>
      <c r="F28" s="94"/>
      <c r="G28" s="94"/>
    </row>
    <row r="29" spans="1:7" x14ac:dyDescent="0.25">
      <c r="A29" t="s">
        <v>95</v>
      </c>
    </row>
    <row r="30" spans="1:7" x14ac:dyDescent="0.25">
      <c r="A30" t="s">
        <v>99</v>
      </c>
    </row>
    <row r="31" spans="1:7" x14ac:dyDescent="0.25">
      <c r="A31" t="s">
        <v>103</v>
      </c>
    </row>
    <row r="32" spans="1:7" x14ac:dyDescent="0.25">
      <c r="A32" t="s">
        <v>107</v>
      </c>
    </row>
    <row r="33" spans="1:3" x14ac:dyDescent="0.25">
      <c r="A33" t="s">
        <v>111</v>
      </c>
    </row>
    <row r="34" spans="1:3" x14ac:dyDescent="0.25">
      <c r="A34" t="s">
        <v>114</v>
      </c>
    </row>
    <row r="35" spans="1:3" x14ac:dyDescent="0.25">
      <c r="A35" t="s">
        <v>116</v>
      </c>
    </row>
    <row r="36" spans="1:3" x14ac:dyDescent="0.25">
      <c r="A36" t="s">
        <v>34</v>
      </c>
    </row>
    <row r="37" spans="1:3" x14ac:dyDescent="0.25">
      <c r="A37" t="s">
        <v>121</v>
      </c>
    </row>
    <row r="39" spans="1:3" ht="16" thickBot="1" x14ac:dyDescent="0.4">
      <c r="A39" s="103" t="s">
        <v>230</v>
      </c>
      <c r="B39" s="104"/>
      <c r="C39" t="s">
        <v>231</v>
      </c>
    </row>
  </sheetData>
  <dataValidations count="27">
    <dataValidation type="list" allowBlank="1" showInputMessage="1" showErrorMessage="1" sqref="A37" xr:uid="{B448F639-B9FA-4FFB-A84C-7493AEEA9016}">
      <formula1>"Dead Hang (optional)"</formula1>
    </dataValidation>
    <dataValidation type="list" allowBlank="1" showInputMessage="1" showErrorMessage="1" sqref="A36" xr:uid="{B52F3545-1C3C-4378-B9DF-BDAE1AAB4AE2}">
      <formula1>"Machine Lateral Raise,High-Cable Lateral Raise,DB Lateral Raise"</formula1>
    </dataValidation>
    <dataValidation type="list" allowBlank="1" showInputMessage="1" showErrorMessage="1" sqref="A35" xr:uid="{FE2D5B54-9279-4C3B-9004-A0DD67F16758}">
      <formula1>"Alternating DB Curl,Barbell Curl,EZ-Bar Curl"</formula1>
    </dataValidation>
    <dataValidation type="list" allowBlank="1" showInputMessage="1" showErrorMessage="1" sqref="A34" xr:uid="{9F0B82E6-7704-4853-9E5A-085F8D9D300E}">
      <formula1>"DB Wrist Extension,Cable Wrist Extension"</formula1>
    </dataValidation>
    <dataValidation type="list" allowBlank="1" showInputMessage="1" showErrorMessage="1" sqref="A33" xr:uid="{0B41C939-708E-4181-A792-5289BEF9A8CD}">
      <formula1>"DB Wrist Curl,Cable Wrist Curl"</formula1>
    </dataValidation>
    <dataValidation type="list" allowBlank="1" showInputMessage="1" showErrorMessage="1" sqref="A32" xr:uid="{F4E7D599-A581-41B5-8F3B-FAEF8BB863FA}">
      <formula1>"Cable Triceps Kickback,Seated Dip Machine,Close-Grip Dip"</formula1>
    </dataValidation>
    <dataValidation type="list" allowBlank="1" showInputMessage="1" showErrorMessage="1" sqref="A31" xr:uid="{8DFF997D-AD3D-4761-A440-9BABA2A1A146}">
      <formula1>"Modified Zottman Curl,DB Hammer Curl,Preacher Hammer Curl"</formula1>
    </dataValidation>
    <dataValidation type="list" allowBlank="1" showInputMessage="1" showErrorMessage="1" sqref="A30" xr:uid="{1B2EB9EA-A807-4F83-A98C-DFAEEBFFC3F8}">
      <formula1>"Overhead Cable Triceps Extension,Overhead DB Triceps Extension,Skull Crusher"</formula1>
    </dataValidation>
    <dataValidation type="list" allowBlank="1" showInputMessage="1" showErrorMessage="1" sqref="A29" xr:uid="{971DFB18-F841-4D22-AADD-838B7C570804}">
      <formula1>"Bayesian Cable Curl,Incline DB Curl,Standing DB Curl"</formula1>
    </dataValidation>
    <dataValidation type="list" allowBlank="1" showInputMessage="1" showErrorMessage="1" sqref="A25" xr:uid="{BC6C977E-BC81-437B-A4A2-096113C3E790}">
      <formula1>"Leg Press,Smith Machine Squat,Barbell Squat"</formula1>
    </dataValidation>
    <dataValidation type="list" allowBlank="1" showInputMessage="1" showErrorMessage="1" sqref="A24" xr:uid="{D9794AEB-1781-49F3-930F-035C2BD18B1F}">
      <formula1>"Machine Hip Thrust,Barbell Hip Thrust,45° Hyperextension"</formula1>
    </dataValidation>
    <dataValidation type="list" allowBlank="1" showInputMessage="1" showErrorMessage="1" sqref="A23" xr:uid="{B7A5EB56-1C09-45C6-B685-07729BC2B994}">
      <formula1>"Barbell RDL,DB RDL,Seated Cable Deadlift"</formula1>
    </dataValidation>
    <dataValidation type="list" allowBlank="1" showInputMessage="1" showErrorMessage="1" sqref="A22" xr:uid="{D077A593-B4B5-4119-9F26-61A552502016}">
      <formula1>"Leg Extension,Reverse Nordic,Sissy Squat"</formula1>
    </dataValidation>
    <dataValidation type="list" allowBlank="1" showInputMessage="1" showErrorMessage="1" sqref="A19" xr:uid="{1A64EB69-7B94-4A58-9BB5-AB74A37D5FF5}">
      <formula1>"Cable Crunch,Weighted Crunch,Machine Crunch"</formula1>
    </dataValidation>
    <dataValidation type="list" allowBlank="1" showInputMessage="1" showErrorMessage="1" sqref="A18" xr:uid="{4C280A92-9241-4A84-B122-F4FF56A8B63A}">
      <formula1>"1-Arm Reverse Pec Deck,Lying Reverse DB Flye,Reverse Cable Crossover"</formula1>
    </dataValidation>
    <dataValidation type="list" allowBlank="1" showInputMessage="1" showErrorMessage="1" sqref="A17" xr:uid="{29EFF978-2E61-40C2-B51F-FD7EB515B4AD}">
      <formula1>"High-Cable Lateral Raise,DB Lateral Raise,Machine Lateral Raise"</formula1>
    </dataValidation>
    <dataValidation type="list" allowBlank="1" showInputMessage="1" showErrorMessage="1" sqref="A16" xr:uid="{B479EEB4-7DEE-42C7-BB0F-57EE18D6256C}">
      <formula1>"Machine Chest Press,Smith Machine Bench Press,DB Bench Press"</formula1>
    </dataValidation>
    <dataValidation type="list" allowBlank="1" showInputMessage="1" showErrorMessage="1" sqref="A15" xr:uid="{FAA687EE-6E27-45E5-BD4B-754437B3CE46}">
      <formula1>"Machine Shrug,Barbell Shrug,Cable Shrug-In"</formula1>
    </dataValidation>
    <dataValidation type="list" allowBlank="1" showInputMessage="1" showErrorMessage="1" sqref="A14" xr:uid="{7766B228-F01B-430C-9760-73F1869C0685}">
      <formula1>"Chest-Supported T-Bar Row,Chest-Supported Machine Row,Chest-Supported DB Row"</formula1>
    </dataValidation>
    <dataValidation type="list" allowBlank="1" showInputMessage="1" showErrorMessage="1" sqref="A13" xr:uid="{27846667-D98D-40E8-A002-DDCA394690B3}">
      <formula1>"Close-Grip Lat Pulldown,Close-Grip Pull-Up,1-Arm Cable Pulldown"</formula1>
    </dataValidation>
    <dataValidation type="list" allowBlank="1" showInputMessage="1" showErrorMessage="1" sqref="A10 A26" xr:uid="{2FF6AFB2-278A-49F6-A223-2113FD9DED9F}">
      <formula1>"Standing Calf Raise,Leg Press Calf Press,Donkey Calf Raise"</formula1>
    </dataValidation>
    <dataValidation type="list" allowBlank="1" showInputMessage="1" showErrorMessage="1" sqref="A9" xr:uid="{88104769-C41C-4282-82F4-711851AFD85F}">
      <formula1>"Pull-Up (Wide Grip),Lat Pulldown (Wide Grip),1-Arm Cable Pulldown"</formula1>
    </dataValidation>
    <dataValidation type="list" allowBlank="1" showInputMessage="1" showErrorMessage="1" sqref="A8" xr:uid="{10C36631-3AE7-4BDF-A832-3765D87932C5}">
      <formula1>"Incline DB Y-Raise,Cable Y-Raise,Machine Lateral Raise"</formula1>
    </dataValidation>
    <dataValidation type="list" allowBlank="1" showInputMessage="1" showErrorMessage="1" sqref="A7" xr:uid="{21F3725A-C5D6-49FE-9C73-7ACD1CBE56B2}">
      <formula1>"Barbell Incline Press,Smith Machine Incline Press,DB Incline Press"</formula1>
    </dataValidation>
    <dataValidation type="list" allowBlank="1" showInputMessage="1" showErrorMessage="1" sqref="A6" xr:uid="{4C67DD76-D12A-420F-9E71-1D51E0871B33}">
      <formula1>"Squat (Your Choice),Barbell Back Squat,Front Squat,Pendulum Squat,Hack Squat,Belt Squat,Smith Machine Squat"</formula1>
    </dataValidation>
    <dataValidation type="list" allowBlank="1" showInputMessage="1" showErrorMessage="1" sqref="B5:B10 E5:E10 B13:B19 E13:E19 B22:B26 E22:E26 B29:B37 E29:E37" xr:uid="{7709EA6D-CA1A-4012-A508-9F1676E90E5D}">
      <formula1>"1,2,3"</formula1>
    </dataValidation>
    <dataValidation type="list" allowBlank="1" showInputMessage="1" showErrorMessage="1" sqref="A5" xr:uid="{DFD9E6F6-B0AF-4AAA-A589-F3996E06C9F4}">
      <formula1>"Lying Leg Curl,Seated Leg Curl,Nordic Ham Curl"</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889C-8C0B-4710-87D4-A55F7132EE7E}">
  <dimension ref="A1:G39"/>
  <sheetViews>
    <sheetView workbookViewId="0"/>
  </sheetViews>
  <sheetFormatPr defaultRowHeight="12.5" x14ac:dyDescent="0.25"/>
  <cols>
    <col min="1" max="1" width="40" customWidth="1"/>
    <col min="2" max="3" width="18.1796875" customWidth="1"/>
    <col min="4" max="4" width="20" customWidth="1"/>
    <col min="5" max="5" width="18.1796875" customWidth="1"/>
    <col min="6" max="6" width="20" customWidth="1"/>
    <col min="7" max="7" width="18.1796875" customWidth="1"/>
  </cols>
  <sheetData>
    <row r="1" spans="1:7" ht="18" x14ac:dyDescent="0.4">
      <c r="A1" s="92" t="s">
        <v>163</v>
      </c>
    </row>
    <row r="3" spans="1:7" ht="13" x14ac:dyDescent="0.3">
      <c r="A3" s="93" t="s">
        <v>7</v>
      </c>
      <c r="B3" s="93" t="s">
        <v>151</v>
      </c>
      <c r="C3" s="93" t="s">
        <v>152</v>
      </c>
      <c r="D3" s="93" t="s">
        <v>153</v>
      </c>
      <c r="E3" s="93" t="s">
        <v>10</v>
      </c>
      <c r="F3" s="93" t="s">
        <v>154</v>
      </c>
      <c r="G3" s="93" t="s">
        <v>155</v>
      </c>
    </row>
    <row r="4" spans="1:7" ht="13" x14ac:dyDescent="0.3">
      <c r="A4" s="94" t="s">
        <v>140</v>
      </c>
      <c r="B4" s="94"/>
      <c r="C4" s="94"/>
      <c r="D4" s="94"/>
      <c r="E4" s="94"/>
      <c r="F4" s="94"/>
      <c r="G4" s="94"/>
    </row>
    <row r="5" spans="1:7" x14ac:dyDescent="0.25">
      <c r="A5" t="s">
        <v>41</v>
      </c>
    </row>
    <row r="6" spans="1:7" x14ac:dyDescent="0.25">
      <c r="A6" t="s">
        <v>45</v>
      </c>
    </row>
    <row r="7" spans="1:7" x14ac:dyDescent="0.25">
      <c r="A7" t="s">
        <v>24</v>
      </c>
    </row>
    <row r="8" spans="1:7" x14ac:dyDescent="0.25">
      <c r="A8" t="s">
        <v>31</v>
      </c>
    </row>
    <row r="9" spans="1:7" x14ac:dyDescent="0.25">
      <c r="A9" t="s">
        <v>36</v>
      </c>
    </row>
    <row r="10" spans="1:7" x14ac:dyDescent="0.25">
      <c r="A10" t="s">
        <v>52</v>
      </c>
    </row>
    <row r="12" spans="1:7" ht="13" x14ac:dyDescent="0.3">
      <c r="A12" s="94" t="s">
        <v>142</v>
      </c>
      <c r="B12" s="94"/>
      <c r="C12" s="94"/>
      <c r="D12" s="94"/>
      <c r="E12" s="94"/>
      <c r="F12" s="94"/>
      <c r="G12" s="94"/>
    </row>
    <row r="13" spans="1:7" x14ac:dyDescent="0.25">
      <c r="A13" t="s">
        <v>56</v>
      </c>
    </row>
    <row r="14" spans="1:7" x14ac:dyDescent="0.25">
      <c r="A14" t="s">
        <v>59</v>
      </c>
    </row>
    <row r="15" spans="1:7" x14ac:dyDescent="0.25">
      <c r="A15" t="s">
        <v>63</v>
      </c>
    </row>
    <row r="16" spans="1:7" x14ac:dyDescent="0.25">
      <c r="A16" t="s">
        <v>67</v>
      </c>
    </row>
    <row r="17" spans="1:7" x14ac:dyDescent="0.25">
      <c r="A17" t="s">
        <v>71</v>
      </c>
    </row>
    <row r="18" spans="1:7" x14ac:dyDescent="0.25">
      <c r="A18" t="s">
        <v>74</v>
      </c>
    </row>
    <row r="19" spans="1:7" x14ac:dyDescent="0.25">
      <c r="A19" t="s">
        <v>78</v>
      </c>
    </row>
    <row r="21" spans="1:7" ht="13" x14ac:dyDescent="0.3">
      <c r="A21" s="94" t="s">
        <v>143</v>
      </c>
      <c r="B21" s="94"/>
      <c r="C21" s="94"/>
      <c r="D21" s="94"/>
      <c r="E21" s="94"/>
      <c r="F21" s="94"/>
      <c r="G21" s="94"/>
    </row>
    <row r="22" spans="1:7" x14ac:dyDescent="0.25">
      <c r="A22" t="s">
        <v>48</v>
      </c>
    </row>
    <row r="23" spans="1:7" x14ac:dyDescent="0.25">
      <c r="A23" t="s">
        <v>82</v>
      </c>
    </row>
    <row r="24" spans="1:7" x14ac:dyDescent="0.25">
      <c r="A24" t="s">
        <v>86</v>
      </c>
    </row>
    <row r="25" spans="1:7" x14ac:dyDescent="0.25">
      <c r="A25" t="s">
        <v>90</v>
      </c>
    </row>
    <row r="26" spans="1:7" x14ac:dyDescent="0.25">
      <c r="A26" t="s">
        <v>52</v>
      </c>
    </row>
    <row r="28" spans="1:7" ht="13" x14ac:dyDescent="0.3">
      <c r="A28" s="94" t="s">
        <v>94</v>
      </c>
      <c r="B28" s="94"/>
      <c r="C28" s="94"/>
      <c r="D28" s="94"/>
      <c r="E28" s="94"/>
      <c r="F28" s="94"/>
      <c r="G28" s="94"/>
    </row>
    <row r="29" spans="1:7" x14ac:dyDescent="0.25">
      <c r="A29" t="s">
        <v>95</v>
      </c>
    </row>
    <row r="30" spans="1:7" x14ac:dyDescent="0.25">
      <c r="A30" t="s">
        <v>99</v>
      </c>
    </row>
    <row r="31" spans="1:7" x14ac:dyDescent="0.25">
      <c r="A31" t="s">
        <v>103</v>
      </c>
    </row>
    <row r="32" spans="1:7" x14ac:dyDescent="0.25">
      <c r="A32" t="s">
        <v>107</v>
      </c>
    </row>
    <row r="33" spans="1:3" x14ac:dyDescent="0.25">
      <c r="A33" t="s">
        <v>111</v>
      </c>
    </row>
    <row r="34" spans="1:3" x14ac:dyDescent="0.25">
      <c r="A34" t="s">
        <v>114</v>
      </c>
    </row>
    <row r="35" spans="1:3" x14ac:dyDescent="0.25">
      <c r="A35" t="s">
        <v>116</v>
      </c>
    </row>
    <row r="36" spans="1:3" x14ac:dyDescent="0.25">
      <c r="A36" t="s">
        <v>34</v>
      </c>
    </row>
    <row r="37" spans="1:3" x14ac:dyDescent="0.25">
      <c r="A37" t="s">
        <v>121</v>
      </c>
    </row>
    <row r="39" spans="1:3" ht="16" thickBot="1" x14ac:dyDescent="0.4">
      <c r="A39" s="103" t="s">
        <v>230</v>
      </c>
      <c r="B39" s="104"/>
      <c r="C39" t="s">
        <v>231</v>
      </c>
    </row>
  </sheetData>
  <dataValidations count="27">
    <dataValidation type="list" allowBlank="1" showInputMessage="1" showErrorMessage="1" sqref="A37" xr:uid="{C516F2C0-63E0-408D-9D71-EC7A78DF27D7}">
      <formula1>"Dead Hang (optional)"</formula1>
    </dataValidation>
    <dataValidation type="list" allowBlank="1" showInputMessage="1" showErrorMessage="1" sqref="A36" xr:uid="{575D8952-CE67-4EF9-9548-64D685FF927B}">
      <formula1>"Machine Lateral Raise,High-Cable Lateral Raise,DB Lateral Raise"</formula1>
    </dataValidation>
    <dataValidation type="list" allowBlank="1" showInputMessage="1" showErrorMessage="1" sqref="A35" xr:uid="{B6659BD2-AC56-4959-8B98-9F6ED27B322B}">
      <formula1>"Alternating DB Curl,Barbell Curl,EZ-Bar Curl"</formula1>
    </dataValidation>
    <dataValidation type="list" allowBlank="1" showInputMessage="1" showErrorMessage="1" sqref="A34" xr:uid="{FBFAA39A-9D45-4BB7-8E63-B5D554318FC2}">
      <formula1>"DB Wrist Extension,Cable Wrist Extension"</formula1>
    </dataValidation>
    <dataValidation type="list" allowBlank="1" showInputMessage="1" showErrorMessage="1" sqref="A33" xr:uid="{38BEE401-8ED5-43E7-835B-2214C735972B}">
      <formula1>"DB Wrist Curl,Cable Wrist Curl"</formula1>
    </dataValidation>
    <dataValidation type="list" allowBlank="1" showInputMessage="1" showErrorMessage="1" sqref="A32" xr:uid="{672EFC58-8CF1-4889-91AA-A90A7FE9A6A1}">
      <formula1>"Cable Triceps Kickback,Seated Dip Machine,Close-Grip Dip"</formula1>
    </dataValidation>
    <dataValidation type="list" allowBlank="1" showInputMessage="1" showErrorMessage="1" sqref="A31" xr:uid="{216811B8-BA92-474E-9725-327E9E6BD5AB}">
      <formula1>"Modified Zottman Curl,DB Hammer Curl,Preacher Hammer Curl"</formula1>
    </dataValidation>
    <dataValidation type="list" allowBlank="1" showInputMessage="1" showErrorMessage="1" sqref="A30" xr:uid="{35849334-76E3-41DD-A1B5-C6C3A5898C4D}">
      <formula1>"Overhead Cable Triceps Extension,Overhead DB Triceps Extension,Skull Crusher"</formula1>
    </dataValidation>
    <dataValidation type="list" allowBlank="1" showInputMessage="1" showErrorMessage="1" sqref="A29" xr:uid="{3E499CD3-FED0-4EF1-8EA4-8797AF33A3B1}">
      <formula1>"Bayesian Cable Curl,Incline DB Curl,Standing DB Curl"</formula1>
    </dataValidation>
    <dataValidation type="list" allowBlank="1" showInputMessage="1" showErrorMessage="1" sqref="A25" xr:uid="{87B7CDF1-EC78-410D-858C-B816EF5AD8DE}">
      <formula1>"Leg Press,Smith Machine Squat,Barbell Squat"</formula1>
    </dataValidation>
    <dataValidation type="list" allowBlank="1" showInputMessage="1" showErrorMessage="1" sqref="A24" xr:uid="{ECC4C533-1894-4735-912E-58EF66623B5C}">
      <formula1>"Machine Hip Thrust,Barbell Hip Thrust,45° Hyperextension"</formula1>
    </dataValidation>
    <dataValidation type="list" allowBlank="1" showInputMessage="1" showErrorMessage="1" sqref="A23" xr:uid="{E0C3A6CA-75F7-49AD-A530-7F6FB215240C}">
      <formula1>"Barbell RDL,DB RDL,Seated Cable Deadlift"</formula1>
    </dataValidation>
    <dataValidation type="list" allowBlank="1" showInputMessage="1" showErrorMessage="1" sqref="A22" xr:uid="{D043D01A-5769-470D-8834-FF2CC7679823}">
      <formula1>"Leg Extension,Reverse Nordic,Sissy Squat"</formula1>
    </dataValidation>
    <dataValidation type="list" allowBlank="1" showInputMessage="1" showErrorMessage="1" sqref="A19" xr:uid="{F986D269-4A64-4563-8CC5-1A3ECBA2299D}">
      <formula1>"Cable Crunch,Weighted Crunch,Machine Crunch"</formula1>
    </dataValidation>
    <dataValidation type="list" allowBlank="1" showInputMessage="1" showErrorMessage="1" sqref="A18" xr:uid="{39EEF8CF-8956-41A1-B8D3-92A20AB4CC7A}">
      <formula1>"1-Arm Reverse Pec Deck,Lying Reverse DB Flye,Reverse Cable Crossover"</formula1>
    </dataValidation>
    <dataValidation type="list" allowBlank="1" showInputMessage="1" showErrorMessage="1" sqref="A17" xr:uid="{0243ACB2-2FC4-4BAB-A3F4-51B2423BDEEA}">
      <formula1>"High-Cable Lateral Raise,DB Lateral Raise,Machine Lateral Raise"</formula1>
    </dataValidation>
    <dataValidation type="list" allowBlank="1" showInputMessage="1" showErrorMessage="1" sqref="A16" xr:uid="{83AAC562-1279-4D2F-8143-50DFB0DD2701}">
      <formula1>"Machine Chest Press,Smith Machine Bench Press,DB Bench Press"</formula1>
    </dataValidation>
    <dataValidation type="list" allowBlank="1" showInputMessage="1" showErrorMessage="1" sqref="A15" xr:uid="{13EBD62E-17A8-431F-8453-EAF37A783480}">
      <formula1>"Machine Shrug,Barbell Shrug,Cable Shrug-In"</formula1>
    </dataValidation>
    <dataValidation type="list" allowBlank="1" showInputMessage="1" showErrorMessage="1" sqref="A14" xr:uid="{F02FE6AA-22F0-496A-8123-959A116F6666}">
      <formula1>"Chest-Supported T-Bar Row,Chest-Supported Machine Row,Chest-Supported DB Row"</formula1>
    </dataValidation>
    <dataValidation type="list" allowBlank="1" showInputMessage="1" showErrorMessage="1" sqref="A13" xr:uid="{6F1C6D9C-60E1-4A49-A6C3-4ACA1E0A153F}">
      <formula1>"Close-Grip Lat Pulldown,Close-Grip Pull-Up,1-Arm Cable Pulldown"</formula1>
    </dataValidation>
    <dataValidation type="list" allowBlank="1" showInputMessage="1" showErrorMessage="1" sqref="A10 A26" xr:uid="{2CE6D605-B1A2-4CCA-A28B-1927376DDF6D}">
      <formula1>"Standing Calf Raise,Leg Press Calf Press,Donkey Calf Raise"</formula1>
    </dataValidation>
    <dataValidation type="list" allowBlank="1" showInputMessage="1" showErrorMessage="1" sqref="A9" xr:uid="{A51A4FE8-F345-4B8F-95F8-13F905F7B3DB}">
      <formula1>"Pull-Up (Wide Grip),Lat Pulldown (Wide Grip),1-Arm Cable Pulldown"</formula1>
    </dataValidation>
    <dataValidation type="list" allowBlank="1" showInputMessage="1" showErrorMessage="1" sqref="A8" xr:uid="{29E2D390-79B5-48C9-BD2C-4D1A61CBC576}">
      <formula1>"Incline DB Y-Raise,Cable Y-Raise,Machine Lateral Raise"</formula1>
    </dataValidation>
    <dataValidation type="list" allowBlank="1" showInputMessage="1" showErrorMessage="1" sqref="A7" xr:uid="{73AAC5A6-4C04-4239-B0DF-A8FC5FFB5289}">
      <formula1>"Barbell Incline Press,Smith Machine Incline Press,DB Incline Press"</formula1>
    </dataValidation>
    <dataValidation type="list" allowBlank="1" showInputMessage="1" showErrorMessage="1" sqref="A6" xr:uid="{E66922CF-6730-4573-82DD-57DDCCE0E658}">
      <formula1>"Squat (Your Choice),Barbell Back Squat,Front Squat,Pendulum Squat,Hack Squat,Belt Squat,Smith Machine Squat"</formula1>
    </dataValidation>
    <dataValidation type="list" allowBlank="1" showInputMessage="1" showErrorMessage="1" sqref="B5:B10 E5:E10 B13:B19 E13:E19 B22:B26 E22:E26 B29:B37 E29:E37" xr:uid="{FA6ACD2E-C651-4F82-928F-189CA39F2BA4}">
      <formula1>"1,2,3"</formula1>
    </dataValidation>
    <dataValidation type="list" allowBlank="1" showInputMessage="1" showErrorMessage="1" sqref="A5" xr:uid="{9DFE7645-2E0C-4894-8DEF-F0987A048EEB}">
      <formula1>"Lying Leg Curl,Seated Leg Curl,Nordic Ham Curl"</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0C186-9490-43E6-9827-E0B2FDFFF1A1}">
  <dimension ref="A1:G39"/>
  <sheetViews>
    <sheetView workbookViewId="0"/>
  </sheetViews>
  <sheetFormatPr defaultRowHeight="12.5" x14ac:dyDescent="0.25"/>
  <cols>
    <col min="1" max="1" width="40" customWidth="1"/>
    <col min="2" max="3" width="18.1796875" customWidth="1"/>
    <col min="4" max="4" width="20" customWidth="1"/>
    <col min="5" max="5" width="18.1796875" customWidth="1"/>
    <col min="6" max="6" width="20" customWidth="1"/>
    <col min="7" max="7" width="18.1796875" customWidth="1"/>
  </cols>
  <sheetData>
    <row r="1" spans="1:7" ht="18" x14ac:dyDescent="0.4">
      <c r="A1" s="92" t="s">
        <v>164</v>
      </c>
    </row>
    <row r="3" spans="1:7" ht="13" x14ac:dyDescent="0.3">
      <c r="A3" s="93" t="s">
        <v>7</v>
      </c>
      <c r="B3" s="93" t="s">
        <v>151</v>
      </c>
      <c r="C3" s="93" t="s">
        <v>152</v>
      </c>
      <c r="D3" s="93" t="s">
        <v>153</v>
      </c>
      <c r="E3" s="93" t="s">
        <v>10</v>
      </c>
      <c r="F3" s="93" t="s">
        <v>154</v>
      </c>
      <c r="G3" s="93" t="s">
        <v>155</v>
      </c>
    </row>
    <row r="4" spans="1:7" ht="13" x14ac:dyDescent="0.3">
      <c r="A4" s="94" t="s">
        <v>140</v>
      </c>
      <c r="B4" s="94"/>
      <c r="C4" s="94"/>
      <c r="D4" s="94"/>
      <c r="E4" s="94"/>
      <c r="F4" s="94"/>
      <c r="G4" s="94"/>
    </row>
    <row r="5" spans="1:7" x14ac:dyDescent="0.25">
      <c r="A5" t="s">
        <v>41</v>
      </c>
    </row>
    <row r="6" spans="1:7" x14ac:dyDescent="0.25">
      <c r="A6" t="s">
        <v>45</v>
      </c>
    </row>
    <row r="7" spans="1:7" x14ac:dyDescent="0.25">
      <c r="A7" t="s">
        <v>24</v>
      </c>
    </row>
    <row r="8" spans="1:7" x14ac:dyDescent="0.25">
      <c r="A8" t="s">
        <v>31</v>
      </c>
    </row>
    <row r="9" spans="1:7" x14ac:dyDescent="0.25">
      <c r="A9" t="s">
        <v>36</v>
      </c>
    </row>
    <row r="10" spans="1:7" x14ac:dyDescent="0.25">
      <c r="A10" t="s">
        <v>52</v>
      </c>
    </row>
    <row r="12" spans="1:7" ht="13" x14ac:dyDescent="0.3">
      <c r="A12" s="94" t="s">
        <v>142</v>
      </c>
      <c r="B12" s="94"/>
      <c r="C12" s="94"/>
      <c r="D12" s="94"/>
      <c r="E12" s="94"/>
      <c r="F12" s="94"/>
      <c r="G12" s="94"/>
    </row>
    <row r="13" spans="1:7" x14ac:dyDescent="0.25">
      <c r="A13" t="s">
        <v>56</v>
      </c>
    </row>
    <row r="14" spans="1:7" x14ac:dyDescent="0.25">
      <c r="A14" t="s">
        <v>59</v>
      </c>
    </row>
    <row r="15" spans="1:7" x14ac:dyDescent="0.25">
      <c r="A15" t="s">
        <v>63</v>
      </c>
    </row>
    <row r="16" spans="1:7" x14ac:dyDescent="0.25">
      <c r="A16" t="s">
        <v>67</v>
      </c>
    </row>
    <row r="17" spans="1:7" x14ac:dyDescent="0.25">
      <c r="A17" t="s">
        <v>71</v>
      </c>
    </row>
    <row r="18" spans="1:7" x14ac:dyDescent="0.25">
      <c r="A18" t="s">
        <v>74</v>
      </c>
    </row>
    <row r="19" spans="1:7" x14ac:dyDescent="0.25">
      <c r="A19" t="s">
        <v>78</v>
      </c>
    </row>
    <row r="21" spans="1:7" ht="13" x14ac:dyDescent="0.3">
      <c r="A21" s="94" t="s">
        <v>143</v>
      </c>
      <c r="B21" s="94"/>
      <c r="C21" s="94"/>
      <c r="D21" s="94"/>
      <c r="E21" s="94"/>
      <c r="F21" s="94"/>
      <c r="G21" s="94"/>
    </row>
    <row r="22" spans="1:7" x14ac:dyDescent="0.25">
      <c r="A22" t="s">
        <v>48</v>
      </c>
    </row>
    <row r="23" spans="1:7" x14ac:dyDescent="0.25">
      <c r="A23" t="s">
        <v>82</v>
      </c>
    </row>
    <row r="24" spans="1:7" x14ac:dyDescent="0.25">
      <c r="A24" t="s">
        <v>86</v>
      </c>
    </row>
    <row r="25" spans="1:7" x14ac:dyDescent="0.25">
      <c r="A25" t="s">
        <v>90</v>
      </c>
    </row>
    <row r="26" spans="1:7" x14ac:dyDescent="0.25">
      <c r="A26" t="s">
        <v>52</v>
      </c>
    </row>
    <row r="28" spans="1:7" ht="13" x14ac:dyDescent="0.3">
      <c r="A28" s="94" t="s">
        <v>94</v>
      </c>
      <c r="B28" s="94"/>
      <c r="C28" s="94"/>
      <c r="D28" s="94"/>
      <c r="E28" s="94"/>
      <c r="F28" s="94"/>
      <c r="G28" s="94"/>
    </row>
    <row r="29" spans="1:7" x14ac:dyDescent="0.25">
      <c r="A29" t="s">
        <v>95</v>
      </c>
    </row>
    <row r="30" spans="1:7" x14ac:dyDescent="0.25">
      <c r="A30" t="s">
        <v>99</v>
      </c>
    </row>
    <row r="31" spans="1:7" x14ac:dyDescent="0.25">
      <c r="A31" t="s">
        <v>103</v>
      </c>
    </row>
    <row r="32" spans="1:7" x14ac:dyDescent="0.25">
      <c r="A32" t="s">
        <v>107</v>
      </c>
    </row>
    <row r="33" spans="1:3" x14ac:dyDescent="0.25">
      <c r="A33" t="s">
        <v>111</v>
      </c>
    </row>
    <row r="34" spans="1:3" x14ac:dyDescent="0.25">
      <c r="A34" t="s">
        <v>114</v>
      </c>
    </row>
    <row r="35" spans="1:3" x14ac:dyDescent="0.25">
      <c r="A35" t="s">
        <v>116</v>
      </c>
    </row>
    <row r="36" spans="1:3" x14ac:dyDescent="0.25">
      <c r="A36" t="s">
        <v>34</v>
      </c>
    </row>
    <row r="37" spans="1:3" x14ac:dyDescent="0.25">
      <c r="A37" t="s">
        <v>121</v>
      </c>
    </row>
    <row r="39" spans="1:3" ht="16" thickBot="1" x14ac:dyDescent="0.4">
      <c r="A39" s="103" t="s">
        <v>230</v>
      </c>
      <c r="B39" s="104"/>
      <c r="C39" t="s">
        <v>231</v>
      </c>
    </row>
  </sheetData>
  <dataValidations count="27">
    <dataValidation type="list" allowBlank="1" showInputMessage="1" showErrorMessage="1" sqref="A37" xr:uid="{E2F14268-62E2-45B0-B071-7EB6B0C234B8}">
      <formula1>"Dead Hang (optional)"</formula1>
    </dataValidation>
    <dataValidation type="list" allowBlank="1" showInputMessage="1" showErrorMessage="1" sqref="A36" xr:uid="{D8126AB4-88DA-4D41-9D76-2A7C08DA4825}">
      <formula1>"Machine Lateral Raise,High-Cable Lateral Raise,DB Lateral Raise"</formula1>
    </dataValidation>
    <dataValidation type="list" allowBlank="1" showInputMessage="1" showErrorMessage="1" sqref="A35" xr:uid="{2CD24AFF-C1AC-4220-95EC-C7828F847E2E}">
      <formula1>"Alternating DB Curl,Barbell Curl,EZ-Bar Curl"</formula1>
    </dataValidation>
    <dataValidation type="list" allowBlank="1" showInputMessage="1" showErrorMessage="1" sqref="A34" xr:uid="{BD50B132-7763-443F-B68B-77717DC6EEB3}">
      <formula1>"DB Wrist Extension,Cable Wrist Extension"</formula1>
    </dataValidation>
    <dataValidation type="list" allowBlank="1" showInputMessage="1" showErrorMessage="1" sqref="A33" xr:uid="{0972B49E-34B9-4697-97C5-790E12227CBA}">
      <formula1>"DB Wrist Curl,Cable Wrist Curl"</formula1>
    </dataValidation>
    <dataValidation type="list" allowBlank="1" showInputMessage="1" showErrorMessage="1" sqref="A32" xr:uid="{49F16D64-8F58-4939-9E11-6E962EAE8254}">
      <formula1>"Cable Triceps Kickback,Seated Dip Machine,Close-Grip Dip"</formula1>
    </dataValidation>
    <dataValidation type="list" allowBlank="1" showInputMessage="1" showErrorMessage="1" sqref="A31" xr:uid="{AEA170E5-32DE-4805-A2B1-C2351B3B4DC3}">
      <formula1>"Modified Zottman Curl,DB Hammer Curl,Preacher Hammer Curl"</formula1>
    </dataValidation>
    <dataValidation type="list" allowBlank="1" showInputMessage="1" showErrorMessage="1" sqref="A30" xr:uid="{7DED4837-5ACE-4868-98FF-2B3B1C94DC11}">
      <formula1>"Overhead Cable Triceps Extension,Overhead DB Triceps Extension,Skull Crusher"</formula1>
    </dataValidation>
    <dataValidation type="list" allowBlank="1" showInputMessage="1" showErrorMessage="1" sqref="A29" xr:uid="{8429296A-0670-4BB0-927D-98E89B387C50}">
      <formula1>"Bayesian Cable Curl,Incline DB Curl,Standing DB Curl"</formula1>
    </dataValidation>
    <dataValidation type="list" allowBlank="1" showInputMessage="1" showErrorMessage="1" sqref="A25" xr:uid="{22606752-2730-4160-9AF6-3E259BB74B3F}">
      <formula1>"Leg Press,Smith Machine Squat,Barbell Squat"</formula1>
    </dataValidation>
    <dataValidation type="list" allowBlank="1" showInputMessage="1" showErrorMessage="1" sqref="A24" xr:uid="{86161C1B-E079-4321-BE17-F797AA9AD50C}">
      <formula1>"Machine Hip Thrust,Barbell Hip Thrust,45° Hyperextension"</formula1>
    </dataValidation>
    <dataValidation type="list" allowBlank="1" showInputMessage="1" showErrorMessage="1" sqref="A23" xr:uid="{3CA7FD1E-0575-4156-BD35-167A4F43AB19}">
      <formula1>"Barbell RDL,DB RDL,Seated Cable Deadlift"</formula1>
    </dataValidation>
    <dataValidation type="list" allowBlank="1" showInputMessage="1" showErrorMessage="1" sqref="A22" xr:uid="{97FDE315-5E6D-49E5-92D3-095C61020E8B}">
      <formula1>"Leg Extension,Reverse Nordic,Sissy Squat"</formula1>
    </dataValidation>
    <dataValidation type="list" allowBlank="1" showInputMessage="1" showErrorMessage="1" sqref="A19" xr:uid="{D5ABE50B-6D60-414D-B053-D8231525FDE3}">
      <formula1>"Cable Crunch,Weighted Crunch,Machine Crunch"</formula1>
    </dataValidation>
    <dataValidation type="list" allowBlank="1" showInputMessage="1" showErrorMessage="1" sqref="A18" xr:uid="{3B45226D-A4FE-4C85-B4F8-011C03F55201}">
      <formula1>"1-Arm Reverse Pec Deck,Lying Reverse DB Flye,Reverse Cable Crossover"</formula1>
    </dataValidation>
    <dataValidation type="list" allowBlank="1" showInputMessage="1" showErrorMessage="1" sqref="A17" xr:uid="{52158B67-5FEA-4A25-9776-13BA5E2D0278}">
      <formula1>"High-Cable Lateral Raise,DB Lateral Raise,Machine Lateral Raise"</formula1>
    </dataValidation>
    <dataValidation type="list" allowBlank="1" showInputMessage="1" showErrorMessage="1" sqref="A16" xr:uid="{0B1A8BD6-F82C-4EA4-8170-2979BFD86033}">
      <formula1>"Machine Chest Press,Smith Machine Bench Press,DB Bench Press"</formula1>
    </dataValidation>
    <dataValidation type="list" allowBlank="1" showInputMessage="1" showErrorMessage="1" sqref="A15" xr:uid="{6BBD85D9-A9E1-4F67-AA32-F9597AEB41D3}">
      <formula1>"Machine Shrug,Barbell Shrug,Cable Shrug-In"</formula1>
    </dataValidation>
    <dataValidation type="list" allowBlank="1" showInputMessage="1" showErrorMessage="1" sqref="A14" xr:uid="{32F34B0E-3417-4094-95BE-AE1B54276B62}">
      <formula1>"Chest-Supported T-Bar Row,Chest-Supported Machine Row,Chest-Supported DB Row"</formula1>
    </dataValidation>
    <dataValidation type="list" allowBlank="1" showInputMessage="1" showErrorMessage="1" sqref="A13" xr:uid="{F1C1F1E7-A044-4C4E-B501-A269C009529D}">
      <formula1>"Close-Grip Lat Pulldown,Close-Grip Pull-Up,1-Arm Cable Pulldown"</formula1>
    </dataValidation>
    <dataValidation type="list" allowBlank="1" showInputMessage="1" showErrorMessage="1" sqref="A10 A26" xr:uid="{8F694699-C32E-4B7A-B73B-E23CB368F079}">
      <formula1>"Standing Calf Raise,Leg Press Calf Press,Donkey Calf Raise"</formula1>
    </dataValidation>
    <dataValidation type="list" allowBlank="1" showInputMessage="1" showErrorMessage="1" sqref="A9" xr:uid="{D2B8C015-001A-446E-9690-3821D9284C4F}">
      <formula1>"Pull-Up (Wide Grip),Lat Pulldown (Wide Grip),1-Arm Cable Pulldown"</formula1>
    </dataValidation>
    <dataValidation type="list" allowBlank="1" showInputMessage="1" showErrorMessage="1" sqref="A8" xr:uid="{4A8B69BD-78BF-440D-8005-EA0EC52BA480}">
      <formula1>"Incline DB Y-Raise,Cable Y-Raise,Machine Lateral Raise"</formula1>
    </dataValidation>
    <dataValidation type="list" allowBlank="1" showInputMessage="1" showErrorMessage="1" sqref="A7" xr:uid="{888FD726-410C-476C-B26F-6C150D6442D3}">
      <formula1>"Barbell Incline Press,Smith Machine Incline Press,DB Incline Press"</formula1>
    </dataValidation>
    <dataValidation type="list" allowBlank="1" showInputMessage="1" showErrorMessage="1" sqref="A6" xr:uid="{5E2D5BB6-30A0-402A-85E0-4BFE42F2EEAF}">
      <formula1>"Squat (Your Choice),Barbell Back Squat,Front Squat,Pendulum Squat,Hack Squat,Belt Squat,Smith Machine Squat"</formula1>
    </dataValidation>
    <dataValidation type="list" allowBlank="1" showInputMessage="1" showErrorMessage="1" sqref="B5:B10 E5:E10 B13:B19 E13:E19 B22:B26 E22:E26 B29:B37 E29:E37" xr:uid="{58017F15-C08D-4A6C-B32F-F5854B59BAC6}">
      <formula1>"1,2,3"</formula1>
    </dataValidation>
    <dataValidation type="list" allowBlank="1" showInputMessage="1" showErrorMessage="1" sqref="A5" xr:uid="{9826964A-4D92-45D9-B043-3D6FF2670381}">
      <formula1>"Lying Leg Curl,Seated Leg Curl,Nordic Ham Curl"</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E19BA-424A-40CA-9901-B40153115EFC}">
  <dimension ref="A1:G39"/>
  <sheetViews>
    <sheetView workbookViewId="0"/>
  </sheetViews>
  <sheetFormatPr defaultRowHeight="12.5" x14ac:dyDescent="0.25"/>
  <cols>
    <col min="1" max="1" width="40" customWidth="1"/>
    <col min="2" max="3" width="18.1796875" customWidth="1"/>
    <col min="4" max="4" width="20" customWidth="1"/>
    <col min="5" max="5" width="18.1796875" customWidth="1"/>
    <col min="6" max="6" width="20" customWidth="1"/>
    <col min="7" max="7" width="18.1796875" customWidth="1"/>
  </cols>
  <sheetData>
    <row r="1" spans="1:7" ht="18" x14ac:dyDescent="0.4">
      <c r="A1" s="92" t="s">
        <v>165</v>
      </c>
    </row>
    <row r="3" spans="1:7" ht="13" x14ac:dyDescent="0.3">
      <c r="A3" s="93" t="s">
        <v>7</v>
      </c>
      <c r="B3" s="93" t="s">
        <v>151</v>
      </c>
      <c r="C3" s="93" t="s">
        <v>152</v>
      </c>
      <c r="D3" s="93" t="s">
        <v>153</v>
      </c>
      <c r="E3" s="93" t="s">
        <v>10</v>
      </c>
      <c r="F3" s="93" t="s">
        <v>154</v>
      </c>
      <c r="G3" s="93" t="s">
        <v>155</v>
      </c>
    </row>
    <row r="4" spans="1:7" ht="13" x14ac:dyDescent="0.3">
      <c r="A4" s="94" t="s">
        <v>140</v>
      </c>
      <c r="B4" s="94"/>
      <c r="C4" s="94"/>
      <c r="D4" s="94"/>
      <c r="E4" s="94"/>
      <c r="F4" s="94"/>
      <c r="G4" s="94"/>
    </row>
    <row r="5" spans="1:7" x14ac:dyDescent="0.25">
      <c r="A5" t="s">
        <v>41</v>
      </c>
    </row>
    <row r="6" spans="1:7" x14ac:dyDescent="0.25">
      <c r="A6" t="s">
        <v>45</v>
      </c>
    </row>
    <row r="7" spans="1:7" x14ac:dyDescent="0.25">
      <c r="A7" t="s">
        <v>24</v>
      </c>
    </row>
    <row r="8" spans="1:7" x14ac:dyDescent="0.25">
      <c r="A8" t="s">
        <v>31</v>
      </c>
    </row>
    <row r="9" spans="1:7" x14ac:dyDescent="0.25">
      <c r="A9" t="s">
        <v>36</v>
      </c>
    </row>
    <row r="10" spans="1:7" x14ac:dyDescent="0.25">
      <c r="A10" t="s">
        <v>52</v>
      </c>
    </row>
    <row r="12" spans="1:7" ht="13" x14ac:dyDescent="0.3">
      <c r="A12" s="94" t="s">
        <v>142</v>
      </c>
      <c r="B12" s="94"/>
      <c r="C12" s="94"/>
      <c r="D12" s="94"/>
      <c r="E12" s="94"/>
      <c r="F12" s="94"/>
      <c r="G12" s="94"/>
    </row>
    <row r="13" spans="1:7" x14ac:dyDescent="0.25">
      <c r="A13" t="s">
        <v>56</v>
      </c>
    </row>
    <row r="14" spans="1:7" x14ac:dyDescent="0.25">
      <c r="A14" t="s">
        <v>59</v>
      </c>
    </row>
    <row r="15" spans="1:7" x14ac:dyDescent="0.25">
      <c r="A15" t="s">
        <v>63</v>
      </c>
    </row>
    <row r="16" spans="1:7" x14ac:dyDescent="0.25">
      <c r="A16" t="s">
        <v>67</v>
      </c>
    </row>
    <row r="17" spans="1:7" x14ac:dyDescent="0.25">
      <c r="A17" t="s">
        <v>71</v>
      </c>
    </row>
    <row r="18" spans="1:7" x14ac:dyDescent="0.25">
      <c r="A18" t="s">
        <v>74</v>
      </c>
    </row>
    <row r="19" spans="1:7" x14ac:dyDescent="0.25">
      <c r="A19" t="s">
        <v>78</v>
      </c>
    </row>
    <row r="21" spans="1:7" ht="13" x14ac:dyDescent="0.3">
      <c r="A21" s="94" t="s">
        <v>143</v>
      </c>
      <c r="B21" s="94"/>
      <c r="C21" s="94"/>
      <c r="D21" s="94"/>
      <c r="E21" s="94"/>
      <c r="F21" s="94"/>
      <c r="G21" s="94"/>
    </row>
    <row r="22" spans="1:7" x14ac:dyDescent="0.25">
      <c r="A22" t="s">
        <v>48</v>
      </c>
    </row>
    <row r="23" spans="1:7" x14ac:dyDescent="0.25">
      <c r="A23" t="s">
        <v>82</v>
      </c>
    </row>
    <row r="24" spans="1:7" x14ac:dyDescent="0.25">
      <c r="A24" t="s">
        <v>86</v>
      </c>
    </row>
    <row r="25" spans="1:7" x14ac:dyDescent="0.25">
      <c r="A25" t="s">
        <v>90</v>
      </c>
    </row>
    <row r="26" spans="1:7" x14ac:dyDescent="0.25">
      <c r="A26" t="s">
        <v>52</v>
      </c>
    </row>
    <row r="28" spans="1:7" ht="13" x14ac:dyDescent="0.3">
      <c r="A28" s="94" t="s">
        <v>94</v>
      </c>
      <c r="B28" s="94"/>
      <c r="C28" s="94"/>
      <c r="D28" s="94"/>
      <c r="E28" s="94"/>
      <c r="F28" s="94"/>
      <c r="G28" s="94"/>
    </row>
    <row r="29" spans="1:7" x14ac:dyDescent="0.25">
      <c r="A29" t="s">
        <v>95</v>
      </c>
    </row>
    <row r="30" spans="1:7" x14ac:dyDescent="0.25">
      <c r="A30" t="s">
        <v>99</v>
      </c>
    </row>
    <row r="31" spans="1:7" x14ac:dyDescent="0.25">
      <c r="A31" t="s">
        <v>103</v>
      </c>
    </row>
    <row r="32" spans="1:7" x14ac:dyDescent="0.25">
      <c r="A32" t="s">
        <v>107</v>
      </c>
    </row>
    <row r="33" spans="1:3" x14ac:dyDescent="0.25">
      <c r="A33" t="s">
        <v>111</v>
      </c>
    </row>
    <row r="34" spans="1:3" x14ac:dyDescent="0.25">
      <c r="A34" t="s">
        <v>114</v>
      </c>
    </row>
    <row r="35" spans="1:3" x14ac:dyDescent="0.25">
      <c r="A35" t="s">
        <v>116</v>
      </c>
    </row>
    <row r="36" spans="1:3" x14ac:dyDescent="0.25">
      <c r="A36" t="s">
        <v>34</v>
      </c>
    </row>
    <row r="37" spans="1:3" x14ac:dyDescent="0.25">
      <c r="A37" t="s">
        <v>121</v>
      </c>
    </row>
    <row r="39" spans="1:3" ht="16" thickBot="1" x14ac:dyDescent="0.4">
      <c r="A39" s="103" t="s">
        <v>230</v>
      </c>
      <c r="B39" s="104"/>
      <c r="C39" t="s">
        <v>231</v>
      </c>
    </row>
  </sheetData>
  <dataValidations count="27">
    <dataValidation type="list" allowBlank="1" showInputMessage="1" showErrorMessage="1" sqref="A37" xr:uid="{D5E3A21C-0982-4FCC-8618-B17AB5A3A5B5}">
      <formula1>"Dead Hang (optional)"</formula1>
    </dataValidation>
    <dataValidation type="list" allowBlank="1" showInputMessage="1" showErrorMessage="1" sqref="A36" xr:uid="{30FF5312-95C1-4604-BAC3-08E9DB78C198}">
      <formula1>"Machine Lateral Raise,High-Cable Lateral Raise,DB Lateral Raise"</formula1>
    </dataValidation>
    <dataValidation type="list" allowBlank="1" showInputMessage="1" showErrorMessage="1" sqref="A35" xr:uid="{E2E88106-7FB6-42BD-99AD-CCAA1F8D5C1C}">
      <formula1>"Alternating DB Curl,Barbell Curl,EZ-Bar Curl"</formula1>
    </dataValidation>
    <dataValidation type="list" allowBlank="1" showInputMessage="1" showErrorMessage="1" sqref="A34" xr:uid="{9D8416D1-D174-4C01-B233-EA28C7D287DB}">
      <formula1>"DB Wrist Extension,Cable Wrist Extension"</formula1>
    </dataValidation>
    <dataValidation type="list" allowBlank="1" showInputMessage="1" showErrorMessage="1" sqref="A33" xr:uid="{269E5824-C949-423A-A45F-D2BAD8A5D127}">
      <formula1>"DB Wrist Curl,Cable Wrist Curl"</formula1>
    </dataValidation>
    <dataValidation type="list" allowBlank="1" showInputMessage="1" showErrorMessage="1" sqref="A32" xr:uid="{8512594E-8432-48F0-979D-1FB6035C7F75}">
      <formula1>"Cable Triceps Kickback,Seated Dip Machine,Close-Grip Dip"</formula1>
    </dataValidation>
    <dataValidation type="list" allowBlank="1" showInputMessage="1" showErrorMessage="1" sqref="A31" xr:uid="{1972CA80-859F-47B5-8B33-E52FC0222C5A}">
      <formula1>"Modified Zottman Curl,DB Hammer Curl,Preacher Hammer Curl"</formula1>
    </dataValidation>
    <dataValidation type="list" allowBlank="1" showInputMessage="1" showErrorMessage="1" sqref="A30" xr:uid="{A3C3F1E5-B2B5-467F-B625-B9BAB8DEA66E}">
      <formula1>"Overhead Cable Triceps Extension,Overhead DB Triceps Extension,Skull Crusher"</formula1>
    </dataValidation>
    <dataValidation type="list" allowBlank="1" showInputMessage="1" showErrorMessage="1" sqref="A29" xr:uid="{1E84ACA0-501D-4A75-80E7-1CA988CF49D2}">
      <formula1>"Bayesian Cable Curl,Incline DB Curl,Standing DB Curl"</formula1>
    </dataValidation>
    <dataValidation type="list" allowBlank="1" showInputMessage="1" showErrorMessage="1" sqref="A25" xr:uid="{5BCD32C6-B434-4430-AB93-63C0E36E62CD}">
      <formula1>"Leg Press,Smith Machine Squat,Barbell Squat"</formula1>
    </dataValidation>
    <dataValidation type="list" allowBlank="1" showInputMessage="1" showErrorMessage="1" sqref="A24" xr:uid="{ACD1DE28-9992-46EC-BCD1-840C78DC41B4}">
      <formula1>"Machine Hip Thrust,Barbell Hip Thrust,45° Hyperextension"</formula1>
    </dataValidation>
    <dataValidation type="list" allowBlank="1" showInputMessage="1" showErrorMessage="1" sqref="A23" xr:uid="{0B5154EA-7B2E-4FD1-94C8-6CF391C526B8}">
      <formula1>"Barbell RDL,DB RDL,Seated Cable Deadlift"</formula1>
    </dataValidation>
    <dataValidation type="list" allowBlank="1" showInputMessage="1" showErrorMessage="1" sqref="A22" xr:uid="{B2DB0E6F-1034-47CC-A021-C762D6DE0B1F}">
      <formula1>"Leg Extension,Reverse Nordic,Sissy Squat"</formula1>
    </dataValidation>
    <dataValidation type="list" allowBlank="1" showInputMessage="1" showErrorMessage="1" sqref="A19" xr:uid="{63D06818-C49F-490D-BD74-ACE6362B7F9B}">
      <formula1>"Cable Crunch,Weighted Crunch,Machine Crunch"</formula1>
    </dataValidation>
    <dataValidation type="list" allowBlank="1" showInputMessage="1" showErrorMessage="1" sqref="A18" xr:uid="{48D6C4AF-6258-4009-8959-07E9C094D344}">
      <formula1>"1-Arm Reverse Pec Deck,Lying Reverse DB Flye,Reverse Cable Crossover"</formula1>
    </dataValidation>
    <dataValidation type="list" allowBlank="1" showInputMessage="1" showErrorMessage="1" sqref="A17" xr:uid="{E3CD33B6-EE58-4FA8-92B2-21195C5C0714}">
      <formula1>"High-Cable Lateral Raise,DB Lateral Raise,Machine Lateral Raise"</formula1>
    </dataValidation>
    <dataValidation type="list" allowBlank="1" showInputMessage="1" showErrorMessage="1" sqref="A16" xr:uid="{097FF38D-652A-478A-B9AF-86C144783A35}">
      <formula1>"Machine Chest Press,Smith Machine Bench Press,DB Bench Press"</formula1>
    </dataValidation>
    <dataValidation type="list" allowBlank="1" showInputMessage="1" showErrorMessage="1" sqref="A15" xr:uid="{E0860A14-9CDA-4EC5-AA95-5ABD108827B4}">
      <formula1>"Machine Shrug,Barbell Shrug,Cable Shrug-In"</formula1>
    </dataValidation>
    <dataValidation type="list" allowBlank="1" showInputMessage="1" showErrorMessage="1" sqref="A14" xr:uid="{1CEB1751-1F73-4EE2-9DF0-71D0A9CB6335}">
      <formula1>"Chest-Supported T-Bar Row,Chest-Supported Machine Row,Chest-Supported DB Row"</formula1>
    </dataValidation>
    <dataValidation type="list" allowBlank="1" showInputMessage="1" showErrorMessage="1" sqref="A13" xr:uid="{51CEF632-1AF4-45E7-A97D-9DC39B538BA0}">
      <formula1>"Close-Grip Lat Pulldown,Close-Grip Pull-Up,1-Arm Cable Pulldown"</formula1>
    </dataValidation>
    <dataValidation type="list" allowBlank="1" showInputMessage="1" showErrorMessage="1" sqref="A10 A26" xr:uid="{883C0DD0-1B86-41D8-8AD8-AD4C30E91FD0}">
      <formula1>"Standing Calf Raise,Leg Press Calf Press,Donkey Calf Raise"</formula1>
    </dataValidation>
    <dataValidation type="list" allowBlank="1" showInputMessage="1" showErrorMessage="1" sqref="A9" xr:uid="{EEDEAD04-942B-4109-896A-8F2D571DC4D2}">
      <formula1>"Pull-Up (Wide Grip),Lat Pulldown (Wide Grip),1-Arm Cable Pulldown"</formula1>
    </dataValidation>
    <dataValidation type="list" allowBlank="1" showInputMessage="1" showErrorMessage="1" sqref="A8" xr:uid="{38C6A797-5294-4001-B285-D5D3E993FAB7}">
      <formula1>"Incline DB Y-Raise,Cable Y-Raise,Machine Lateral Raise"</formula1>
    </dataValidation>
    <dataValidation type="list" allowBlank="1" showInputMessage="1" showErrorMessage="1" sqref="A7" xr:uid="{EE058257-9D13-4934-8B65-0E9E22EE2175}">
      <formula1>"Barbell Incline Press,Smith Machine Incline Press,DB Incline Press"</formula1>
    </dataValidation>
    <dataValidation type="list" allowBlank="1" showInputMessage="1" showErrorMessage="1" sqref="A6" xr:uid="{1B570D63-E67B-477A-ACD8-FEDA871F84FD}">
      <formula1>"Squat (Your Choice),Barbell Back Squat,Front Squat,Pendulum Squat,Hack Squat,Belt Squat,Smith Machine Squat"</formula1>
    </dataValidation>
    <dataValidation type="list" allowBlank="1" showInputMessage="1" showErrorMessage="1" sqref="B5:B10 E5:E10 B13:B19 E13:E19 B22:B26 E22:E26 B29:B37 E29:E37" xr:uid="{9C184F59-4D44-4B47-A8DE-A689C901F62C}">
      <formula1>"1,2,3"</formula1>
    </dataValidation>
    <dataValidation type="list" allowBlank="1" showInputMessage="1" showErrorMessage="1" sqref="A5" xr:uid="{16C5DAC0-00D3-4ECA-AD18-4132E0BFC718}">
      <formula1>"Lying Leg Curl,Seated Leg Curl,Nordic Ham Curl"</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21CF7-B744-4612-8211-32525999DBB9}">
  <dimension ref="A1:G39"/>
  <sheetViews>
    <sheetView workbookViewId="0"/>
  </sheetViews>
  <sheetFormatPr defaultRowHeight="12.5" x14ac:dyDescent="0.25"/>
  <cols>
    <col min="1" max="1" width="40" customWidth="1"/>
    <col min="2" max="3" width="18.1796875" customWidth="1"/>
    <col min="4" max="4" width="20" customWidth="1"/>
    <col min="5" max="5" width="18.1796875" customWidth="1"/>
    <col min="6" max="6" width="20" customWidth="1"/>
    <col min="7" max="7" width="18.1796875" customWidth="1"/>
  </cols>
  <sheetData>
    <row r="1" spans="1:7" ht="18" x14ac:dyDescent="0.4">
      <c r="A1" s="92" t="s">
        <v>166</v>
      </c>
    </row>
    <row r="3" spans="1:7" ht="13" x14ac:dyDescent="0.3">
      <c r="A3" s="93" t="s">
        <v>7</v>
      </c>
      <c r="B3" s="93" t="s">
        <v>151</v>
      </c>
      <c r="C3" s="93" t="s">
        <v>152</v>
      </c>
      <c r="D3" s="93" t="s">
        <v>153</v>
      </c>
      <c r="E3" s="93" t="s">
        <v>10</v>
      </c>
      <c r="F3" s="93" t="s">
        <v>154</v>
      </c>
      <c r="G3" s="93" t="s">
        <v>155</v>
      </c>
    </row>
    <row r="4" spans="1:7" ht="13" x14ac:dyDescent="0.3">
      <c r="A4" s="94" t="s">
        <v>140</v>
      </c>
      <c r="B4" s="94"/>
      <c r="C4" s="94"/>
      <c r="D4" s="94"/>
      <c r="E4" s="94"/>
      <c r="F4" s="94"/>
      <c r="G4" s="94"/>
    </row>
    <row r="5" spans="1:7" x14ac:dyDescent="0.25">
      <c r="A5" t="s">
        <v>41</v>
      </c>
    </row>
    <row r="6" spans="1:7" x14ac:dyDescent="0.25">
      <c r="A6" t="s">
        <v>45</v>
      </c>
    </row>
    <row r="7" spans="1:7" x14ac:dyDescent="0.25">
      <c r="A7" t="s">
        <v>24</v>
      </c>
    </row>
    <row r="8" spans="1:7" x14ac:dyDescent="0.25">
      <c r="A8" t="s">
        <v>31</v>
      </c>
    </row>
    <row r="9" spans="1:7" x14ac:dyDescent="0.25">
      <c r="A9" t="s">
        <v>36</v>
      </c>
    </row>
    <row r="10" spans="1:7" x14ac:dyDescent="0.25">
      <c r="A10" t="s">
        <v>52</v>
      </c>
    </row>
    <row r="12" spans="1:7" ht="13" x14ac:dyDescent="0.3">
      <c r="A12" s="94" t="s">
        <v>142</v>
      </c>
      <c r="B12" s="94"/>
      <c r="C12" s="94"/>
      <c r="D12" s="94"/>
      <c r="E12" s="94"/>
      <c r="F12" s="94"/>
      <c r="G12" s="94"/>
    </row>
    <row r="13" spans="1:7" x14ac:dyDescent="0.25">
      <c r="A13" t="s">
        <v>56</v>
      </c>
    </row>
    <row r="14" spans="1:7" x14ac:dyDescent="0.25">
      <c r="A14" t="s">
        <v>59</v>
      </c>
    </row>
    <row r="15" spans="1:7" x14ac:dyDescent="0.25">
      <c r="A15" t="s">
        <v>63</v>
      </c>
    </row>
    <row r="16" spans="1:7" x14ac:dyDescent="0.25">
      <c r="A16" t="s">
        <v>67</v>
      </c>
    </row>
    <row r="17" spans="1:7" x14ac:dyDescent="0.25">
      <c r="A17" t="s">
        <v>71</v>
      </c>
    </row>
    <row r="18" spans="1:7" x14ac:dyDescent="0.25">
      <c r="A18" t="s">
        <v>74</v>
      </c>
    </row>
    <row r="19" spans="1:7" x14ac:dyDescent="0.25">
      <c r="A19" t="s">
        <v>78</v>
      </c>
    </row>
    <row r="21" spans="1:7" ht="13" x14ac:dyDescent="0.3">
      <c r="A21" s="94" t="s">
        <v>143</v>
      </c>
      <c r="B21" s="94"/>
      <c r="C21" s="94"/>
      <c r="D21" s="94"/>
      <c r="E21" s="94"/>
      <c r="F21" s="94"/>
      <c r="G21" s="94"/>
    </row>
    <row r="22" spans="1:7" x14ac:dyDescent="0.25">
      <c r="A22" t="s">
        <v>48</v>
      </c>
    </row>
    <row r="23" spans="1:7" x14ac:dyDescent="0.25">
      <c r="A23" t="s">
        <v>82</v>
      </c>
    </row>
    <row r="24" spans="1:7" x14ac:dyDescent="0.25">
      <c r="A24" t="s">
        <v>86</v>
      </c>
    </row>
    <row r="25" spans="1:7" x14ac:dyDescent="0.25">
      <c r="A25" t="s">
        <v>90</v>
      </c>
    </row>
    <row r="26" spans="1:7" x14ac:dyDescent="0.25">
      <c r="A26" t="s">
        <v>52</v>
      </c>
    </row>
    <row r="28" spans="1:7" ht="13" x14ac:dyDescent="0.3">
      <c r="A28" s="94" t="s">
        <v>94</v>
      </c>
      <c r="B28" s="94"/>
      <c r="C28" s="94"/>
      <c r="D28" s="94"/>
      <c r="E28" s="94"/>
      <c r="F28" s="94"/>
      <c r="G28" s="94"/>
    </row>
    <row r="29" spans="1:7" x14ac:dyDescent="0.25">
      <c r="A29" t="s">
        <v>95</v>
      </c>
    </row>
    <row r="30" spans="1:7" x14ac:dyDescent="0.25">
      <c r="A30" t="s">
        <v>99</v>
      </c>
    </row>
    <row r="31" spans="1:7" x14ac:dyDescent="0.25">
      <c r="A31" t="s">
        <v>103</v>
      </c>
    </row>
    <row r="32" spans="1:7" x14ac:dyDescent="0.25">
      <c r="A32" t="s">
        <v>107</v>
      </c>
    </row>
    <row r="33" spans="1:3" x14ac:dyDescent="0.25">
      <c r="A33" t="s">
        <v>111</v>
      </c>
    </row>
    <row r="34" spans="1:3" x14ac:dyDescent="0.25">
      <c r="A34" t="s">
        <v>114</v>
      </c>
    </row>
    <row r="35" spans="1:3" x14ac:dyDescent="0.25">
      <c r="A35" t="s">
        <v>116</v>
      </c>
    </row>
    <row r="36" spans="1:3" x14ac:dyDescent="0.25">
      <c r="A36" t="s">
        <v>34</v>
      </c>
    </row>
    <row r="37" spans="1:3" x14ac:dyDescent="0.25">
      <c r="A37" t="s">
        <v>121</v>
      </c>
    </row>
    <row r="39" spans="1:3" ht="16" thickBot="1" x14ac:dyDescent="0.4">
      <c r="A39" s="103" t="s">
        <v>230</v>
      </c>
      <c r="B39" s="104"/>
      <c r="C39" t="s">
        <v>231</v>
      </c>
    </row>
  </sheetData>
  <dataValidations count="27">
    <dataValidation type="list" allowBlank="1" showInputMessage="1" showErrorMessage="1" sqref="A37" xr:uid="{D3176C68-5582-4C63-802C-4F26886F296A}">
      <formula1>"Dead Hang (optional)"</formula1>
    </dataValidation>
    <dataValidation type="list" allowBlank="1" showInputMessage="1" showErrorMessage="1" sqref="A36" xr:uid="{6AAC3D5E-625E-4C83-938A-356FB0288F80}">
      <formula1>"Machine Lateral Raise,High-Cable Lateral Raise,DB Lateral Raise"</formula1>
    </dataValidation>
    <dataValidation type="list" allowBlank="1" showInputMessage="1" showErrorMessage="1" sqref="A35" xr:uid="{602BBA26-1A75-4F7A-A2E7-330DC08C6FCB}">
      <formula1>"Alternating DB Curl,Barbell Curl,EZ-Bar Curl"</formula1>
    </dataValidation>
    <dataValidation type="list" allowBlank="1" showInputMessage="1" showErrorMessage="1" sqref="A34" xr:uid="{859D56AE-FDD1-4004-BC2C-1FB1B6F940CC}">
      <formula1>"DB Wrist Extension,Cable Wrist Extension"</formula1>
    </dataValidation>
    <dataValidation type="list" allowBlank="1" showInputMessage="1" showErrorMessage="1" sqref="A33" xr:uid="{3F41C66A-EDFE-4BAE-8B78-C117D59E7ADF}">
      <formula1>"DB Wrist Curl,Cable Wrist Curl"</formula1>
    </dataValidation>
    <dataValidation type="list" allowBlank="1" showInputMessage="1" showErrorMessage="1" sqref="A32" xr:uid="{A96D3228-4DB9-4FB2-98E2-A1AB8A751E32}">
      <formula1>"Cable Triceps Kickback,Seated Dip Machine,Close-Grip Dip"</formula1>
    </dataValidation>
    <dataValidation type="list" allowBlank="1" showInputMessage="1" showErrorMessage="1" sqref="A31" xr:uid="{73D3F92F-F1FE-4BC2-8561-6A2F01DD3851}">
      <formula1>"Modified Zottman Curl,DB Hammer Curl,Preacher Hammer Curl"</formula1>
    </dataValidation>
    <dataValidation type="list" allowBlank="1" showInputMessage="1" showErrorMessage="1" sqref="A30" xr:uid="{B14CB890-ED06-4908-BAB3-5EF1A78345F6}">
      <formula1>"Overhead Cable Triceps Extension,Overhead DB Triceps Extension,Skull Crusher"</formula1>
    </dataValidation>
    <dataValidation type="list" allowBlank="1" showInputMessage="1" showErrorMessage="1" sqref="A29" xr:uid="{F6EA1B94-7311-40E9-BCEE-654DDFE71AA2}">
      <formula1>"Bayesian Cable Curl,Incline DB Curl,Standing DB Curl"</formula1>
    </dataValidation>
    <dataValidation type="list" allowBlank="1" showInputMessage="1" showErrorMessage="1" sqref="A25" xr:uid="{E8FB457A-5E6D-45F7-BD5B-75CBD945EE20}">
      <formula1>"Leg Press,Smith Machine Squat,Barbell Squat"</formula1>
    </dataValidation>
    <dataValidation type="list" allowBlank="1" showInputMessage="1" showErrorMessage="1" sqref="A24" xr:uid="{EF332C55-F455-4071-B0BB-F5FD519B5851}">
      <formula1>"Machine Hip Thrust,Barbell Hip Thrust,45° Hyperextension"</formula1>
    </dataValidation>
    <dataValidation type="list" allowBlank="1" showInputMessage="1" showErrorMessage="1" sqref="A23" xr:uid="{02915EE3-E380-443B-9AD0-3ABF02789519}">
      <formula1>"Barbell RDL,DB RDL,Seated Cable Deadlift"</formula1>
    </dataValidation>
    <dataValidation type="list" allowBlank="1" showInputMessage="1" showErrorMessage="1" sqref="A22" xr:uid="{ED4115A3-A289-4E10-8E09-14A2AE5D7438}">
      <formula1>"Leg Extension,Reverse Nordic,Sissy Squat"</formula1>
    </dataValidation>
    <dataValidation type="list" allowBlank="1" showInputMessage="1" showErrorMessage="1" sqref="A19" xr:uid="{B7BCF22B-F647-44E1-B1A2-D9A9CE5A380D}">
      <formula1>"Cable Crunch,Weighted Crunch,Machine Crunch"</formula1>
    </dataValidation>
    <dataValidation type="list" allowBlank="1" showInputMessage="1" showErrorMessage="1" sqref="A18" xr:uid="{69E0F174-0DB1-44C8-AA1B-07409BC44501}">
      <formula1>"1-Arm Reverse Pec Deck,Lying Reverse DB Flye,Reverse Cable Crossover"</formula1>
    </dataValidation>
    <dataValidation type="list" allowBlank="1" showInputMessage="1" showErrorMessage="1" sqref="A17" xr:uid="{2FB7808E-EC05-404E-AAC1-7B9104E1F4DA}">
      <formula1>"High-Cable Lateral Raise,DB Lateral Raise,Machine Lateral Raise"</formula1>
    </dataValidation>
    <dataValidation type="list" allowBlank="1" showInputMessage="1" showErrorMessage="1" sqref="A16" xr:uid="{B88B93F6-7F1D-49D7-A7BA-52156181D433}">
      <formula1>"Machine Chest Press,Smith Machine Bench Press,DB Bench Press"</formula1>
    </dataValidation>
    <dataValidation type="list" allowBlank="1" showInputMessage="1" showErrorMessage="1" sqref="A15" xr:uid="{E0C1C0D0-68DC-4726-9F02-D8EEE86470BB}">
      <formula1>"Machine Shrug,Barbell Shrug,Cable Shrug-In"</formula1>
    </dataValidation>
    <dataValidation type="list" allowBlank="1" showInputMessage="1" showErrorMessage="1" sqref="A14" xr:uid="{6243727A-4043-46FB-BE92-F02809C10946}">
      <formula1>"Chest-Supported T-Bar Row,Chest-Supported Machine Row,Chest-Supported DB Row"</formula1>
    </dataValidation>
    <dataValidation type="list" allowBlank="1" showInputMessage="1" showErrorMessage="1" sqref="A13" xr:uid="{01CB9977-8C4D-4587-A00F-C43BEAB5E792}">
      <formula1>"Close-Grip Lat Pulldown,Close-Grip Pull-Up,1-Arm Cable Pulldown"</formula1>
    </dataValidation>
    <dataValidation type="list" allowBlank="1" showInputMessage="1" showErrorMessage="1" sqref="A10 A26" xr:uid="{A1A470E9-88C2-4218-8B89-3DB317882476}">
      <formula1>"Standing Calf Raise,Leg Press Calf Press,Donkey Calf Raise"</formula1>
    </dataValidation>
    <dataValidation type="list" allowBlank="1" showInputMessage="1" showErrorMessage="1" sqref="A9" xr:uid="{55CA4E18-1A1E-4FC3-BBE5-5DDEBE8524CF}">
      <formula1>"Pull-Up (Wide Grip),Lat Pulldown (Wide Grip),1-Arm Cable Pulldown"</formula1>
    </dataValidation>
    <dataValidation type="list" allowBlank="1" showInputMessage="1" showErrorMessage="1" sqref="A8" xr:uid="{5B11DCF9-5D81-4B60-9645-7CAC3E3AB560}">
      <formula1>"Incline DB Y-Raise,Cable Y-Raise,Machine Lateral Raise"</formula1>
    </dataValidation>
    <dataValidation type="list" allowBlank="1" showInputMessage="1" showErrorMessage="1" sqref="A7" xr:uid="{B6BB97F2-A67F-4842-B40F-9C3FDD72A9EE}">
      <formula1>"Barbell Incline Press,Smith Machine Incline Press,DB Incline Press"</formula1>
    </dataValidation>
    <dataValidation type="list" allowBlank="1" showInputMessage="1" showErrorMessage="1" sqref="A6" xr:uid="{B2071B7C-EB17-4A8F-BC52-4C89F8A2F7C9}">
      <formula1>"Squat (Your Choice),Barbell Back Squat,Front Squat,Pendulum Squat,Hack Squat,Belt Squat,Smith Machine Squat"</formula1>
    </dataValidation>
    <dataValidation type="list" allowBlank="1" showInputMessage="1" showErrorMessage="1" sqref="B5:B10 E5:E10 B13:B19 E13:E19 B22:B26 E22:E26 B29:B37 E29:E37" xr:uid="{52A0946E-CA2A-4815-A164-E1EDE767BFB6}">
      <formula1>"1,2,3"</formula1>
    </dataValidation>
    <dataValidation type="list" allowBlank="1" showInputMessage="1" showErrorMessage="1" sqref="A5" xr:uid="{120DD024-E64B-4663-B119-7EC9AE5973A0}">
      <formula1>"Lying Leg Curl,Seated Leg Curl,Nordic Ham Curl"</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About</vt:lpstr>
      <vt:lpstr>4x Per Week</vt:lpstr>
      <vt:lpstr>Analytics Dashboard</vt:lpstr>
      <vt:lpstr>Week 1</vt:lpstr>
      <vt:lpstr>Week 2</vt:lpstr>
      <vt:lpstr>Week 3</vt:lpstr>
      <vt:lpstr>Week 4</vt:lpstr>
      <vt:lpstr>Week 5</vt:lpstr>
      <vt:lpstr>Week 6</vt:lpstr>
      <vt:lpstr>Week 7</vt:lpstr>
      <vt:lpstr>Week 8</vt:lpstr>
      <vt:lpstr>Week 9</vt:lpstr>
      <vt:lpstr>Week 10</vt:lpstr>
      <vt:lpstr>Week 11</vt:lpstr>
      <vt:lpstr>Week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Haroon Naseem</dc:creator>
  <cp:lastModifiedBy>Haroon Naseem</cp:lastModifiedBy>
  <cp:lastPrinted>2025-10-10T16:10:04Z</cp:lastPrinted>
  <dcterms:created xsi:type="dcterms:W3CDTF">2026-04-24T02:25:29Z</dcterms:created>
  <dcterms:modified xsi:type="dcterms:W3CDTF">2026-04-24T22:46:55Z</dcterms:modified>
</cp:coreProperties>
</file>